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ml.chartshapes+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ml.chartshapes+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slicers/slicer7.xml" ContentType="application/vnd.ms-excel.slicer+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ml.chartshapes+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ml.chartshapes+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Ex7.xml" ContentType="application/vnd.ms-office.chartex+xml"/>
  <Override PartName="/xl/charts/style29.xml" ContentType="application/vnd.ms-office.chartstyle+xml"/>
  <Override PartName="/xl/charts/colors29.xml" ContentType="application/vnd.ms-office.chartcolorstyle+xml"/>
  <Override PartName="/xl/charts/chart23.xml" ContentType="application/vnd.openxmlformats-officedocument.drawingml.chart+xml"/>
  <Override PartName="/xl/charts/style30.xml" ContentType="application/vnd.ms-office.chartstyle+xml"/>
  <Override PartName="/xl/charts/colors30.xml" ContentType="application/vnd.ms-office.chartcolorstyle+xml"/>
  <Override PartName="/xl/charts/chart24.xml" ContentType="application/vnd.openxmlformats-officedocument.drawingml.chart+xml"/>
  <Override PartName="/xl/charts/style31.xml" ContentType="application/vnd.ms-office.chartstyle+xml"/>
  <Override PartName="/xl/charts/colors31.xml" ContentType="application/vnd.ms-office.chartcolorstyle+xml"/>
  <Override PartName="/xl/charts/chartEx8.xml" ContentType="application/vnd.ms-office.chartex+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onni\OneDrive\ドキュメント\"/>
    </mc:Choice>
  </mc:AlternateContent>
  <xr:revisionPtr revIDLastSave="0" documentId="8_{31F3014F-325F-499A-97A8-832C7C839965}" xr6:coauthVersionLast="47" xr6:coauthVersionMax="47" xr10:uidLastSave="{00000000-0000-0000-0000-000000000000}"/>
  <bookViews>
    <workbookView xWindow="-108" yWindow="-108" windowWidth="23256" windowHeight="12456" firstSheet="6" activeTab="11" xr2:uid="{5AF5D4AF-D10E-435D-ABA8-B0D0494ED23E}"/>
  </bookViews>
  <sheets>
    <sheet name="Data" sheetId="1" r:id="rId1"/>
    <sheet name="KPI" sheetId="7" r:id="rId2"/>
    <sheet name="Rating" sheetId="9" r:id="rId3"/>
    <sheet name="Employee by Gender" sheetId="10" r:id="rId4"/>
    <sheet name="Education-wise Attrition" sheetId="12" r:id="rId5"/>
    <sheet name="Attrition By Job Role" sheetId="13" r:id="rId6"/>
    <sheet name="Department-wise Attrition" sheetId="14" r:id="rId7"/>
    <sheet name="Attrition By Age-Group" sheetId="15" r:id="rId8"/>
    <sheet name="Attrition By Marriage Status" sheetId="16" r:id="rId9"/>
    <sheet name="Dashboard" sheetId="8" state="hidden" r:id="rId10"/>
    <sheet name="Images" sheetId="2" state="hidden" r:id="rId11"/>
    <sheet name="MY DASHBOARD" sheetId="5" r:id="rId12"/>
  </sheets>
  <definedNames>
    <definedName name="_xlchart.v1.0" hidden="1">'Attrition By Job Role'!$E$4:$E$12</definedName>
    <definedName name="_xlchart.v1.1" hidden="1">'Attrition By Job Role'!$F$3</definedName>
    <definedName name="_xlchart.v1.10" hidden="1">'Attrition By Job Role'!$E$4:$E$12</definedName>
    <definedName name="_xlchart.v1.11" hidden="1">'Attrition By Job Role'!$F$3</definedName>
    <definedName name="_xlchart.v1.12" hidden="1">'Attrition By Job Role'!$F$4:$F$12</definedName>
    <definedName name="_xlchart.v1.17" hidden="1">'Attrition By Job Role'!$E$4:$E$12</definedName>
    <definedName name="_xlchart.v1.18" hidden="1">'Attrition By Job Role'!$F$3</definedName>
    <definedName name="_xlchart.v1.19" hidden="1">'Attrition By Job Role'!$F$4:$F$12</definedName>
    <definedName name="_xlchart.v1.2" hidden="1">'Attrition By Job Role'!$F$4:$F$12</definedName>
    <definedName name="_xlchart.v1.3" hidden="1">'Attrition By Job Role'!$R$6:$R$14</definedName>
    <definedName name="_xlchart.v1.4" hidden="1">'Attrition By Job Role'!$S$5</definedName>
    <definedName name="_xlchart.v1.5" hidden="1">'Attrition By Job Role'!$S$6:$S$14</definedName>
    <definedName name="_xlchart.v2.13" hidden="1">'Attrition By Marriage Status'!$D$4:$D$6</definedName>
    <definedName name="_xlchart.v2.14" hidden="1">'Attrition By Marriage Status'!$E$4:$E$6</definedName>
    <definedName name="_xlchart.v2.15" hidden="1">'Attrition By Marriage Status'!$D$4:$D$6</definedName>
    <definedName name="_xlchart.v2.16" hidden="1">'Attrition By Marriage Status'!$E$4:$E$6</definedName>
    <definedName name="_xlchart.v2.6" hidden="1">'Attrition By Marriage Status'!$L$6:$L$8</definedName>
    <definedName name="_xlchart.v2.7" hidden="1">'Attrition By Marriage Status'!$M$6:$M$8</definedName>
    <definedName name="_xlchart.v2.8" hidden="1">'Attrition By Marriage Status'!$D$4:$D$6</definedName>
    <definedName name="_xlchart.v2.9" hidden="1">'Attrition By Marriage Status'!$E$4:$E$6</definedName>
    <definedName name="Slicer_Department">#N/A</definedName>
    <definedName name="Slicer_Department1">#N/A</definedName>
    <definedName name="Slicer_Education">#N/A</definedName>
    <definedName name="Slicer_Education_Field">#N/A</definedName>
    <definedName name="Slicer_Education_Field1">#N/A</definedName>
    <definedName name="Slicer_Education_Field2">#N/A</definedName>
    <definedName name="Slicer_Education_Field3">#N/A</definedName>
    <definedName name="Slicer_Gender">#N/A</definedName>
    <definedName name="Slicer_Gender1">#N/A</definedName>
    <definedName name="Slicer_Gender2">#N/A</definedName>
    <definedName name="Slicer_Gender3">#N/A</definedName>
    <definedName name="Slicer_Marital_Status">#N/A</definedName>
    <definedName name="Slicer_Marital_Status1">#N/A</definedName>
  </definedNames>
  <calcPr calcId="191029"/>
  <pivotCaches>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9" l="1"/>
  <c r="L8" i="16"/>
  <c r="L7" i="16"/>
  <c r="L6" i="16"/>
  <c r="L11" i="14"/>
  <c r="L10" i="14"/>
  <c r="L9" i="14"/>
  <c r="R14" i="13"/>
  <c r="R8" i="13"/>
  <c r="R9" i="13"/>
  <c r="R10" i="13"/>
  <c r="R11" i="13"/>
  <c r="R12" i="13"/>
  <c r="R13" i="13"/>
  <c r="R7" i="13"/>
  <c r="R6" i="13"/>
  <c r="M8" i="16"/>
  <c r="M7" i="16"/>
  <c r="M6" i="16"/>
  <c r="N11" i="14"/>
  <c r="N10" i="14"/>
  <c r="N9" i="14"/>
  <c r="M11" i="14"/>
  <c r="M10" i="14"/>
  <c r="M9" i="14"/>
  <c r="S14" i="13"/>
  <c r="S13" i="13"/>
  <c r="S12" i="13"/>
  <c r="S11" i="13"/>
  <c r="S10" i="13"/>
  <c r="S9" i="13"/>
  <c r="S8" i="13"/>
  <c r="S7" i="13"/>
  <c r="S6" i="13"/>
  <c r="V8" i="10"/>
  <c r="V9" i="10"/>
  <c r="B16" i="9"/>
  <c r="C17" i="7"/>
  <c r="D17" i="7"/>
  <c r="B17" i="7"/>
  <c r="E17" i="7"/>
  <c r="W9" i="10" l="1"/>
  <c r="W8" i="10"/>
  <c r="B17" i="9"/>
  <c r="C17" i="9" s="1"/>
  <c r="C16" i="9"/>
  <c r="D14" i="7"/>
  <c r="C14" i="7"/>
  <c r="B14" i="7"/>
  <c r="D5" i="16"/>
  <c r="D6" i="16"/>
  <c r="D4" i="16"/>
  <c r="D5" i="14"/>
  <c r="D6" i="14"/>
  <c r="D4" i="14"/>
  <c r="E5" i="13"/>
  <c r="E6" i="13"/>
  <c r="E7" i="13"/>
  <c r="E8" i="13"/>
  <c r="E9" i="13"/>
  <c r="E10" i="13"/>
  <c r="E11" i="13"/>
  <c r="E12" i="13"/>
  <c r="E4" i="13"/>
  <c r="C7" i="7"/>
  <c r="F8" i="13"/>
  <c r="B12" i="10"/>
  <c r="B11" i="10"/>
  <c r="B7" i="7"/>
  <c r="E4" i="14"/>
  <c r="E6" i="14"/>
  <c r="B6" i="9"/>
  <c r="A7" i="7"/>
  <c r="E5" i="16"/>
  <c r="F7" i="13"/>
  <c r="F12" i="13"/>
  <c r="E7" i="7"/>
  <c r="F6" i="13"/>
  <c r="E6" i="16"/>
  <c r="F11" i="13"/>
  <c r="F10" i="13"/>
  <c r="F5" i="13"/>
  <c r="F4" i="13"/>
  <c r="D7" i="7"/>
  <c r="E5" i="14"/>
  <c r="E4" i="16"/>
  <c r="F9" i="13"/>
  <c r="C11" i="10" l="1"/>
  <c r="C12" i="10"/>
  <c r="C6" i="9"/>
  <c r="B7" i="9"/>
  <c r="C7" i="9" s="1"/>
  <c r="F4" i="14"/>
  <c r="F6" i="14"/>
  <c r="F5" i="14"/>
</calcChain>
</file>

<file path=xl/sharedStrings.xml><?xml version="1.0" encoding="utf-8"?>
<sst xmlns="http://schemas.openxmlformats.org/spreadsheetml/2006/main" count="19880" uniqueCount="1592">
  <si>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</si>
  <si>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</si>
  <si>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</si>
  <si>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</si>
  <si>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</si>
  <si>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</si>
  <si>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</si>
  <si>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</si>
  <si>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</si>
  <si>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</si>
  <si>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</si>
  <si>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</si>
  <si>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</si>
  <si>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</si>
  <si>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</si>
  <si>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</si>
  <si>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</si>
  <si>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</si>
  <si>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</si>
  <si>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</si>
  <si>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</si>
  <si>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</si>
  <si>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</si>
  <si>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</si>
  <si>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</si>
  <si>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</si>
  <si>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</si>
  <si>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</si>
  <si>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</si>
  <si>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</si>
  <si>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</si>
  <si>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</si>
  <si>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</si>
  <si>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</si>
  <si>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</si>
  <si>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</si>
  <si>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</si>
  <si>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</si>
  <si>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</si>
  <si>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</si>
  <si>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</si>
  <si>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</si>
  <si>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</si>
  <si>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</si>
  <si>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</si>
  <si>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</si>
  <si>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</si>
  <si>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</si>
  <si>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</si>
  <si>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</si>
  <si>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</si>
  <si>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</si>
  <si>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</si>
  <si>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</si>
  <si>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</si>
  <si>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</si>
  <si>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</si>
  <si>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</si>
  <si>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</si>
  <si>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</si>
  <si>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</si>
  <si>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</si>
  <si>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</si>
  <si>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</si>
  <si>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</si>
  <si>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</si>
  <si>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</si>
  <si>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</si>
  <si>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</si>
  <si>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</si>
  <si>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</si>
  <si>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</si>
  <si>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</si>
  <si>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</si>
  <si>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</si>
  <si>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</si>
  <si>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</si>
  <si>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</si>
  <si>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</si>
  <si>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</si>
  <si>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</si>
  <si>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</si>
  <si>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</si>
  <si>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</si>
  <si>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</si>
  <si>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</si>
  <si>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</si>
  <si>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</si>
  <si>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</si>
  <si>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</si>
  <si>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</si>
  <si>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</si>
  <si>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</si>
  <si>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</si>
  <si>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</si>
  <si>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</si>
  <si>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</si>
  <si>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</si>
  <si>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</si>
  <si>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</si>
  <si>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</si>
  <si>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</si>
  <si>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</si>
  <si>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</si>
  <si>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</si>
  <si>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</si>
  <si>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</si>
  <si>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</si>
  <si>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</si>
  <si>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</si>
  <si>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</si>
  <si>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</si>
  <si>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</si>
  <si>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</si>
  <si>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</si>
  <si>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</si>
  <si>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</si>
  <si>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</si>
  <si>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</si>
  <si>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</si>
  <si>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</si>
  <si>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</si>
  <si>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</si>
  <si>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</si>
  <si>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</si>
  <si>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</si>
  <si>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</si>
  <si>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</si>
  <si>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</si>
  <si>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</si>
  <si>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</si>
  <si>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</si>
  <si>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</si>
  <si>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</si>
  <si>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</si>
  <si>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</si>
  <si>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</si>
  <si>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</si>
  <si>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</si>
  <si>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</si>
  <si>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</si>
  <si>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</si>
  <si>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</si>
  <si>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</si>
  <si>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</si>
  <si>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</si>
  <si>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</si>
  <si>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</si>
  <si>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</si>
  <si>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</si>
  <si>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</si>
  <si>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</si>
  <si>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</si>
  <si>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</si>
  <si>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</si>
  <si>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</si>
  <si>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</si>
  <si>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</si>
  <si>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</si>
  <si>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</si>
  <si>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</si>
  <si>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</si>
  <si>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</si>
  <si>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</si>
  <si>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</si>
  <si>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</si>
  <si>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</si>
  <si>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</si>
  <si>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</si>
  <si>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</si>
  <si>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</si>
  <si>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</si>
  <si>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</si>
  <si>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</si>
  <si>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</si>
  <si>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</si>
  <si>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</si>
  <si>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</si>
  <si>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</si>
  <si>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</si>
  <si>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</si>
  <si>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</si>
  <si>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</si>
  <si>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</si>
  <si>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</si>
  <si>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</si>
  <si>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</si>
  <si>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</si>
  <si>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</si>
  <si>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</si>
  <si>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</si>
  <si>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</si>
  <si>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</si>
  <si>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</si>
  <si>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</si>
  <si>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</si>
  <si>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</si>
  <si>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</si>
  <si>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</si>
  <si>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</si>
  <si>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</si>
  <si>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</si>
  <si>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</si>
  <si>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</si>
  <si>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</si>
  <si>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</si>
  <si>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</si>
  <si>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</si>
  <si>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</si>
  <si>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</si>
  <si>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</si>
  <si>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</si>
  <si>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</si>
  <si>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</si>
  <si>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</si>
  <si>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</si>
  <si>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</si>
  <si>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</si>
  <si>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</si>
  <si>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</si>
  <si>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</si>
  <si>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</si>
  <si>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</si>
  <si>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</si>
  <si>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</si>
  <si>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</si>
  <si>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</si>
  <si>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</si>
  <si>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</si>
  <si>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</si>
  <si>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</si>
  <si>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</si>
  <si>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</si>
  <si>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</si>
  <si>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</si>
  <si>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</si>
  <si>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</si>
  <si>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</si>
  <si>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</si>
  <si>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</si>
  <si>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</si>
  <si>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</si>
  <si>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</si>
  <si>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</si>
  <si>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</si>
  <si>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</si>
  <si>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</si>
  <si>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</si>
  <si>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</si>
  <si>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</si>
  <si>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</si>
  <si>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</si>
  <si>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</si>
  <si>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</si>
  <si>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</si>
  <si>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</si>
  <si>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</si>
  <si>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</si>
  <si>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</si>
  <si>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</si>
  <si>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</si>
  <si>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</si>
  <si>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</si>
  <si>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</si>
  <si>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</si>
  <si>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</si>
  <si>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</si>
  <si>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</si>
  <si>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</si>
  <si>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</si>
  <si>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</si>
  <si>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</si>
  <si>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</si>
  <si>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</si>
  <si>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</si>
  <si>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</si>
  <si>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</si>
  <si>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</si>
  <si>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</si>
  <si>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</si>
  <si>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</si>
  <si>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</si>
  <si>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</si>
  <si>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</si>
  <si>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</si>
  <si>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</si>
  <si>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</si>
  <si>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</si>
  <si>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</si>
  <si>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</si>
  <si>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</si>
  <si>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</si>
  <si>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</si>
  <si>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</si>
  <si>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</si>
  <si>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</si>
  <si>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</si>
  <si>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</si>
  <si>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</si>
  <si>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</si>
  <si>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</si>
  <si>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</si>
  <si>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</si>
  <si>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</si>
  <si>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</si>
  <si>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</si>
  <si>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</si>
  <si>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</si>
  <si>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</si>
  <si>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</si>
  <si>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</si>
  <si>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</si>
  <si>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</si>
  <si>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</si>
  <si>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</si>
  <si>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</si>
  <si>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</si>
  <si>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</si>
  <si>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</si>
  <si>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</si>
  <si>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</si>
  <si>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</si>
  <si>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</si>
  <si>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</si>
  <si>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</si>
  <si>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</si>
  <si>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</si>
  <si>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</si>
  <si>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</si>
  <si>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</si>
  <si>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</si>
  <si>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</si>
  <si>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</si>
  <si>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</si>
  <si>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</si>
  <si>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</si>
  <si>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</si>
  <si>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</si>
  <si>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</si>
  <si>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</si>
  <si>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</si>
  <si>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</si>
  <si>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</si>
  <si>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</si>
  <si>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</si>
  <si>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</si>
  <si>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</si>
  <si>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</si>
  <si>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</si>
  <si>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</si>
  <si>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</si>
  <si>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</si>
  <si>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</si>
  <si>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</si>
  <si>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</si>
  <si>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</si>
  <si>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</si>
  <si>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</si>
  <si>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</si>
  <si>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</si>
  <si>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</si>
  <si>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</si>
  <si>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</si>
  <si>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</si>
  <si>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</si>
  <si>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</si>
  <si>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</si>
  <si>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</si>
  <si>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</si>
  <si>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</si>
  <si>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</si>
  <si>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</si>
  <si>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</si>
  <si>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</si>
  <si>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</si>
  <si>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</si>
  <si>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</si>
  <si>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</si>
  <si>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</si>
  <si>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</si>
  <si>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</si>
  <si>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</si>
  <si>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</si>
  <si>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</si>
  <si>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</si>
  <si>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</si>
  <si>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</si>
  <si>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</si>
  <si>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</si>
  <si>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</si>
  <si>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</si>
  <si>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</si>
  <si>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</si>
  <si>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</si>
  <si>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</si>
  <si>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</si>
  <si>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</si>
  <si>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</si>
  <si>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</si>
  <si>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</si>
  <si>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</si>
  <si>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</si>
  <si>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</si>
  <si>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</si>
  <si>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</si>
  <si>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</si>
  <si>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</si>
  <si>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</si>
  <si>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</si>
  <si>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</si>
  <si>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</si>
  <si>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</si>
  <si>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</si>
  <si>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</si>
  <si>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</si>
  <si>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</si>
  <si>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</si>
  <si>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</si>
  <si>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</si>
  <si>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</si>
  <si>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</si>
  <si>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</si>
  <si>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</si>
  <si>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</si>
  <si>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</si>
  <si>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</si>
  <si>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</si>
  <si>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</si>
  <si>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</si>
  <si>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</si>
  <si>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</si>
  <si>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</si>
  <si>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</si>
  <si>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</si>
  <si>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</si>
  <si>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</si>
  <si>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</si>
  <si>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</si>
  <si>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</si>
  <si>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</si>
  <si>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</si>
  <si>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</si>
  <si>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</si>
  <si>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</si>
  <si>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</si>
  <si>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</si>
  <si>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</si>
  <si>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</si>
  <si>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</si>
  <si>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</si>
  <si>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</si>
  <si>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</si>
  <si>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</si>
  <si>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</si>
  <si>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</si>
  <si>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</si>
  <si>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</si>
  <si>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</si>
  <si>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</si>
  <si>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</si>
  <si>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</si>
  <si>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</si>
  <si>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</si>
  <si>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</si>
  <si>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</si>
  <si>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</si>
  <si>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</si>
  <si>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</si>
  <si>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</si>
  <si>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</si>
  <si>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</si>
  <si>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</si>
  <si>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</si>
  <si>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</si>
  <si>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</si>
  <si>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</si>
  <si>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</si>
  <si>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</si>
  <si>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</si>
  <si>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</si>
  <si>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</si>
  <si>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</si>
  <si>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</si>
  <si>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</si>
  <si>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</si>
  <si>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</si>
  <si>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</si>
  <si>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</si>
  <si>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</si>
  <si>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</si>
  <si>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</si>
  <si>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</si>
  <si>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</si>
  <si>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</si>
  <si>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</si>
  <si>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</si>
  <si>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</si>
  <si>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</si>
  <si>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</si>
  <si>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</si>
  <si>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</si>
  <si>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</si>
  <si>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</si>
  <si>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</si>
  <si>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</si>
  <si>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</si>
  <si>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</si>
  <si>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</si>
  <si>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</si>
  <si>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</si>
  <si>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</si>
  <si>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</si>
  <si>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</si>
  <si>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</si>
  <si>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</si>
  <si>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</si>
  <si>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</si>
  <si>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</si>
  <si>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</si>
  <si>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</si>
  <si>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</si>
  <si>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</si>
  <si>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</si>
  <si>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</si>
  <si>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</si>
  <si>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</si>
  <si>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</si>
  <si>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</si>
  <si>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</si>
  <si>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</si>
  <si>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</si>
  <si>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</si>
  <si>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</si>
  <si>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</si>
  <si>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</si>
  <si>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</si>
  <si>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</si>
  <si>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</si>
  <si>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</si>
  <si>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</si>
  <si>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</si>
  <si>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</si>
  <si>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</si>
  <si>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</si>
  <si>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</si>
  <si>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</si>
  <si>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</si>
  <si>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</si>
  <si>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</si>
  <si>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</si>
  <si>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</si>
  <si>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</si>
  <si>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</si>
  <si>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</si>
  <si>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</si>
  <si>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</si>
  <si>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</si>
  <si>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</si>
  <si>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</si>
  <si>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</si>
  <si>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</si>
  <si>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</si>
  <si>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</si>
  <si>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</si>
  <si>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</si>
  <si>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</si>
  <si>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</si>
  <si>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</si>
  <si>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</si>
  <si>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</si>
  <si>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</si>
  <si>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</si>
  <si>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</si>
  <si>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</si>
  <si>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</si>
  <si>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</si>
  <si>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</si>
  <si>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</si>
  <si>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</si>
  <si>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</si>
  <si>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</si>
  <si>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</si>
  <si>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</si>
  <si>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</si>
  <si>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</si>
  <si>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</si>
  <si>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</si>
  <si>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</si>
  <si>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</si>
  <si>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</si>
  <si>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</si>
  <si>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</si>
  <si>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</si>
  <si>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</si>
  <si>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</si>
  <si>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</si>
  <si>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</si>
  <si>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</si>
  <si>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</si>
  <si>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</si>
  <si>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</si>
  <si>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</si>
  <si>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</si>
  <si>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</si>
  <si>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</si>
  <si>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</si>
  <si>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</si>
  <si>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</si>
  <si>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</si>
  <si>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</si>
  <si>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</si>
  <si>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</si>
  <si>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</si>
  <si>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</si>
  <si>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</si>
  <si>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</si>
  <si>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</si>
  <si>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</si>
  <si>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</si>
  <si>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</si>
  <si>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</si>
  <si>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</si>
  <si>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</si>
  <si>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</si>
  <si>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</si>
  <si>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</si>
  <si>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</si>
  <si>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</si>
  <si>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</si>
  <si>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</si>
  <si>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</si>
  <si>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</si>
  <si>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</si>
  <si>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</si>
  <si>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</si>
  <si>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</si>
  <si>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</si>
  <si>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</si>
  <si>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</si>
  <si>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</si>
  <si>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</si>
  <si>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</si>
  <si>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</si>
  <si>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</si>
  <si>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</si>
  <si>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</si>
  <si>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</si>
  <si>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</si>
  <si>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</si>
  <si>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</si>
  <si>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</si>
  <si>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</si>
  <si>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</si>
  <si>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</si>
  <si>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</si>
  <si>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</si>
  <si>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</si>
  <si>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</si>
  <si>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</si>
  <si>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</si>
  <si>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</si>
  <si>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</si>
  <si>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</si>
  <si>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</si>
  <si>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</si>
  <si>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</si>
  <si>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</si>
  <si>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</si>
  <si>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</si>
  <si>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</si>
  <si>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</si>
  <si>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</si>
  <si>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</si>
  <si>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</si>
  <si>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</si>
  <si>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</si>
  <si>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</si>
  <si>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</si>
  <si>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</si>
  <si>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</si>
  <si>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</si>
  <si>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</si>
  <si>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</si>
  <si>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</si>
  <si>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</si>
  <si>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</si>
  <si>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</si>
  <si>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</si>
  <si>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</si>
  <si>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</si>
  <si>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</si>
  <si>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</si>
  <si>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</si>
  <si>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</si>
  <si>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</si>
  <si>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</si>
  <si>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</si>
  <si>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</si>
  <si>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</si>
  <si>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</si>
  <si>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</si>
  <si>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</si>
  <si>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</si>
  <si>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</si>
  <si>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</si>
  <si>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</si>
  <si>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</si>
  <si>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</si>
  <si>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</si>
  <si>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</si>
  <si>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</si>
  <si>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</si>
  <si>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</si>
  <si>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</si>
  <si>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</si>
  <si>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</si>
  <si>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</si>
  <si>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</si>
  <si>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</si>
  <si>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</si>
  <si>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</si>
  <si>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</si>
  <si>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</si>
  <si>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</si>
  <si>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</si>
  <si>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</si>
  <si>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</si>
  <si>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</si>
  <si>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</si>
  <si>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</si>
  <si>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</si>
  <si>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</si>
  <si>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</si>
  <si>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</si>
  <si>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</si>
  <si>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</si>
  <si>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</si>
  <si>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</si>
  <si>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</si>
  <si>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</si>
  <si>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</si>
  <si>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</si>
  <si>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</si>
  <si>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</si>
  <si>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</si>
  <si>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</si>
  <si>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</si>
  <si>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</si>
  <si>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</si>
  <si>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</si>
  <si>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</si>
  <si>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</si>
  <si>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</si>
  <si>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</si>
  <si>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</si>
  <si>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</si>
  <si>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</si>
  <si>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</si>
  <si>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</si>
  <si>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</si>
  <si>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</si>
  <si>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</si>
  <si>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</si>
  <si>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</si>
  <si>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</si>
  <si>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</si>
  <si>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</si>
  <si>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</si>
  <si>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</si>
  <si>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</si>
  <si>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</si>
  <si>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</si>
  <si>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</si>
  <si>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</si>
  <si>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</si>
  <si>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</si>
  <si>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</si>
  <si>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</si>
  <si>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</si>
  <si>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</si>
  <si>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</si>
  <si>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</si>
  <si>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</si>
  <si>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</si>
  <si>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</si>
  <si>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</si>
  <si>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</si>
  <si>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</si>
  <si>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</si>
  <si>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</si>
  <si>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</si>
  <si>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</si>
  <si>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</si>
  <si>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</si>
  <si>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</si>
  <si>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</si>
  <si>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</si>
  <si>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</si>
  <si>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</si>
  <si>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</si>
  <si>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</si>
  <si>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</si>
  <si>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</si>
  <si>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</si>
  <si>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</si>
  <si>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</si>
  <si>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</si>
  <si>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</si>
  <si>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</si>
  <si>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</si>
  <si>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</si>
  <si>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</si>
  <si>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</si>
  <si>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</si>
  <si>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</si>
  <si>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</si>
  <si>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</si>
  <si>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</si>
  <si>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</si>
  <si>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</si>
  <si>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</si>
  <si>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</si>
  <si>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</si>
  <si>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</si>
  <si>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</si>
  <si>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</si>
  <si>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</si>
  <si>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</si>
  <si>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</si>
  <si>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</si>
  <si>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</si>
  <si>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</si>
  <si>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</si>
  <si>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</si>
  <si>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</si>
  <si>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</si>
  <si>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</si>
  <si>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</si>
  <si>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</si>
  <si>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</si>
  <si>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</si>
  <si>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</si>
  <si>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</si>
  <si>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</si>
  <si>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</si>
  <si>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</si>
  <si>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</si>
  <si>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</si>
  <si>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</si>
  <si>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</si>
  <si>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</si>
  <si>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</si>
  <si>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</si>
  <si>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</si>
  <si>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</si>
  <si>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</si>
  <si>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</si>
  <si>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</si>
  <si>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</si>
  <si>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</si>
  <si>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</si>
  <si>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</si>
  <si>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</si>
  <si>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</si>
  <si>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</si>
  <si>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</si>
  <si>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</si>
  <si>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</si>
  <si>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</si>
  <si>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</si>
  <si>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</si>
  <si>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</si>
  <si>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</si>
  <si>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</si>
  <si>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</si>
  <si>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</si>
  <si>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</si>
  <si>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</si>
  <si>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</si>
  <si>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</si>
  <si>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</si>
  <si>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</si>
  <si>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</si>
  <si>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</si>
  <si>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</si>
  <si>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</si>
  <si>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</si>
  <si>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</si>
  <si>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</si>
  <si>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</si>
  <si>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</si>
  <si>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</si>
  <si>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</si>
  <si>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</si>
  <si>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</si>
  <si>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</si>
  <si>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</si>
  <si>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</si>
  <si>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</si>
  <si>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</si>
  <si>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</si>
  <si>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</si>
  <si>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</si>
  <si>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</si>
  <si>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</si>
  <si>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</si>
  <si>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</si>
  <si>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</si>
  <si>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</si>
  <si>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</si>
  <si>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</si>
  <si>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</si>
  <si>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</si>
  <si>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</si>
  <si>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</si>
  <si>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</si>
  <si>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</si>
  <si>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</si>
  <si>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</si>
  <si>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</si>
  <si>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</si>
  <si>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</si>
  <si>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</si>
  <si>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</si>
  <si>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</si>
  <si>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</si>
  <si>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</si>
  <si>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</si>
  <si>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</si>
  <si>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</si>
  <si>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</si>
  <si>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</si>
  <si>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</si>
  <si>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</si>
  <si>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</si>
  <si>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</si>
  <si>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</si>
  <si>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</si>
  <si>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</si>
  <si>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</si>
  <si>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</si>
  <si>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</si>
  <si>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</si>
  <si>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</si>
  <si>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</si>
  <si>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</si>
  <si>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</si>
  <si>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</si>
  <si>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</si>
  <si>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</si>
  <si>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</si>
  <si>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</si>
  <si>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</si>
  <si>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</si>
  <si>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</si>
  <si>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</si>
  <si>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</si>
  <si>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</si>
  <si>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</si>
  <si>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</si>
  <si>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</si>
  <si>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</si>
  <si>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</si>
  <si>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</si>
  <si>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</si>
  <si>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</si>
  <si>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</si>
  <si>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</si>
  <si>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</si>
  <si>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</si>
  <si>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</si>
  <si>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</si>
  <si>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</si>
  <si>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</si>
  <si>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</si>
  <si>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</si>
  <si>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</si>
  <si>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</si>
  <si>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</si>
  <si>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</si>
  <si>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</si>
  <si>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</si>
  <si>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</si>
  <si>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</si>
  <si>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</si>
  <si>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</si>
  <si>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</si>
  <si>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</si>
  <si>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</si>
  <si>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</si>
  <si>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</si>
  <si>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</si>
  <si>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</si>
  <si>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</si>
  <si>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</si>
  <si>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</si>
  <si>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</si>
  <si>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</si>
  <si>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</si>
  <si>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</si>
  <si>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</si>
  <si>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</si>
  <si>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</si>
  <si>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</si>
  <si>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</si>
  <si>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</si>
  <si>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</si>
  <si>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</si>
  <si>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</si>
  <si>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</si>
  <si>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</si>
  <si>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</si>
  <si>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</si>
  <si>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</si>
  <si>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</si>
  <si>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</si>
  <si>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</si>
  <si>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</si>
  <si>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</si>
  <si>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</si>
  <si>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</si>
  <si>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</si>
  <si>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</si>
  <si>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</si>
  <si>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</si>
  <si>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</si>
  <si>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</si>
  <si>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</si>
  <si>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</si>
  <si>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</si>
  <si>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</si>
  <si>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</si>
  <si>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</si>
  <si>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</si>
  <si>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</si>
  <si>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</si>
  <si>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</si>
  <si>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</si>
  <si>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</si>
  <si>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</si>
  <si>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</si>
  <si>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</si>
  <si>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</si>
  <si>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</si>
  <si>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</si>
  <si>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</si>
  <si>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</si>
  <si>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</si>
  <si>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</si>
  <si>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</si>
  <si>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</si>
  <si>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</si>
  <si>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</si>
  <si>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</si>
  <si>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</si>
  <si>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</si>
  <si>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</si>
  <si>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</si>
  <si>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</si>
  <si>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</si>
  <si>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</si>
  <si>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</si>
  <si>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</si>
  <si>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</si>
  <si>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</si>
  <si>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</si>
  <si>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</si>
  <si>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</si>
  <si>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</si>
  <si>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</si>
  <si>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</si>
  <si>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</si>
  <si>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</si>
  <si>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</si>
  <si>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</si>
  <si>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</si>
  <si>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</si>
  <si>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</si>
  <si>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</si>
  <si>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</si>
  <si>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</si>
  <si>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</si>
  <si>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</si>
  <si>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</si>
  <si>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</si>
  <si>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</si>
  <si>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</si>
  <si>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</si>
  <si>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</si>
  <si>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</si>
  <si>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</si>
  <si>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</si>
  <si>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</si>
  <si>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</si>
  <si>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</si>
  <si>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</si>
  <si>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</si>
  <si>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</si>
  <si>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</si>
  <si>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</si>
  <si>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</si>
  <si>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</si>
  <si>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</si>
  <si>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</si>
  <si>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</si>
  <si>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</si>
  <si>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</si>
  <si>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</si>
  <si>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</si>
  <si>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</si>
  <si>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</si>
  <si>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</si>
  <si>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</si>
  <si>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</si>
  <si>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</si>
  <si>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</si>
  <si>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</si>
  <si>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</si>
  <si>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</si>
  <si>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</si>
  <si>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</si>
  <si>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</si>
  <si>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</si>
  <si>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</si>
  <si>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</si>
  <si>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</si>
  <si>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</si>
  <si>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</si>
  <si>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</si>
  <si>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</si>
  <si>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</si>
  <si>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</si>
  <si>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</si>
  <si>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</si>
  <si>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</si>
  <si>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</si>
  <si>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</si>
  <si>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</si>
  <si>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</si>
  <si>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</si>
  <si>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</si>
  <si>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</si>
  <si>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</si>
  <si>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</si>
  <si>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</si>
  <si>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</si>
  <si>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</si>
  <si>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</si>
  <si>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</si>
  <si>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</si>
  <si>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</si>
  <si>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</si>
  <si>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</si>
  <si>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</si>
  <si>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</si>
  <si>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</si>
  <si>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</si>
  <si>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</si>
  <si>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</si>
  <si>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</si>
  <si>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</si>
  <si>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</si>
  <si>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</si>
  <si>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</si>
  <si>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</si>
  <si>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</si>
  <si>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</si>
  <si>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</si>
  <si>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</si>
  <si>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</si>
  <si>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</si>
  <si>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</si>
  <si>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</si>
  <si>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</si>
  <si>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</si>
  <si>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</si>
  <si>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</si>
  <si>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</si>
  <si>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</si>
  <si>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</si>
  <si>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</si>
  <si>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</si>
  <si>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</si>
  <si>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</si>
  <si>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</si>
  <si>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</si>
  <si>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</si>
  <si>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</si>
  <si>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</si>
  <si>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</si>
  <si>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</si>
  <si>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</si>
  <si>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</si>
  <si>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</si>
  <si>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</si>
  <si>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</si>
  <si>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</si>
  <si>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</si>
  <si>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</si>
  <si>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</si>
  <si>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</si>
  <si>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</si>
  <si>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</si>
  <si>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</si>
  <si>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</si>
  <si>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</si>
  <si>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</si>
  <si>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</si>
  <si>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</si>
  <si>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</si>
  <si>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</si>
  <si>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</si>
  <si>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</si>
  <si>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</si>
  <si>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</si>
  <si>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</si>
  <si>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</si>
  <si>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</si>
  <si>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</si>
  <si>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</si>
  <si>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</si>
  <si>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</si>
  <si>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</si>
  <si>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</si>
  <si>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</si>
  <si>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</si>
  <si>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</si>
  <si>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</si>
  <si>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</si>
  <si>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</si>
  <si>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</si>
  <si>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</si>
  <si>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</si>
  <si>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</si>
  <si>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</si>
  <si>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</si>
  <si>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</si>
  <si>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</si>
  <si>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</si>
  <si>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</si>
  <si>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</si>
  <si>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</si>
  <si>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</si>
  <si>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</si>
  <si>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</si>
  <si>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</si>
  <si>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</si>
  <si>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</si>
  <si>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</si>
  <si>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</si>
  <si>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</si>
  <si>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</si>
  <si>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</si>
  <si>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</si>
  <si>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</si>
  <si>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</si>
  <si>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</si>
  <si>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</si>
  <si>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</si>
  <si>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</si>
  <si>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</si>
  <si>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</si>
  <si>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</si>
  <si>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</si>
  <si>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</si>
  <si>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</si>
  <si>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</si>
  <si>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</si>
  <si>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</si>
  <si>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</si>
  <si>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</si>
  <si>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</si>
  <si>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</si>
  <si>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</si>
  <si>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</si>
  <si>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</si>
  <si>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</si>
  <si>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</si>
  <si>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</si>
  <si>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</si>
  <si>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</si>
  <si>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</si>
  <si>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</si>
  <si>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</si>
  <si>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</si>
  <si>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</si>
  <si>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</si>
  <si>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</si>
  <si>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</si>
  <si>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</si>
  <si>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</si>
  <si>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</si>
  <si>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</si>
  <si>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</si>
  <si>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</si>
  <si>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</si>
  <si>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</si>
  <si>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</si>
  <si>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</si>
  <si>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</si>
  <si>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</si>
  <si>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</si>
  <si>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</si>
  <si>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</si>
  <si>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</si>
  <si>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</si>
  <si>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</si>
  <si>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</si>
  <si>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</si>
  <si>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</si>
  <si>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</si>
  <si>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</si>
  <si>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</si>
  <si>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</si>
  <si>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</si>
  <si>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</si>
  <si>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</si>
  <si>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</si>
  <si>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</si>
  <si>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</si>
  <si>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</si>
  <si>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</si>
  <si>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</si>
  <si>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</si>
  <si>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</si>
  <si>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</si>
  <si>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</si>
  <si>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</si>
  <si>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</si>
  <si>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</si>
  <si>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</si>
  <si>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</si>
  <si>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</si>
  <si>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</si>
  <si>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</si>
  <si>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</si>
  <si>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</si>
  <si>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</si>
  <si>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</si>
  <si>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</si>
  <si>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</si>
  <si>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</si>
  <si>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</si>
  <si>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</si>
  <si>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</si>
  <si>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</si>
  <si>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</si>
  <si>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</si>
  <si>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</si>
  <si>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</si>
  <si>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</si>
  <si>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</si>
  <si>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</si>
  <si>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</si>
  <si>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</si>
  <si>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</si>
  <si>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</si>
  <si>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</si>
  <si>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</si>
  <si>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</si>
  <si>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</si>
  <si>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</si>
  <si>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</si>
  <si>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</si>
  <si>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</si>
  <si>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</si>
  <si>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</si>
  <si>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</si>
  <si>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</si>
  <si>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</si>
  <si>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</si>
  <si>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</si>
  <si>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</si>
  <si>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</si>
  <si>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</si>
  <si>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</si>
  <si>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</si>
  <si>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</si>
  <si>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</si>
  <si>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</si>
  <si>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</si>
  <si>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</si>
  <si>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</si>
  <si>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</si>
  <si>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</si>
  <si>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</si>
  <si>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</si>
  <si>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</si>
  <si>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</si>
  <si>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</si>
  <si>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</si>
  <si>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</si>
  <si>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</si>
  <si>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</si>
  <si>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</si>
  <si>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</si>
  <si>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</si>
  <si>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</si>
  <si>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</si>
  <si>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</si>
  <si>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</si>
  <si>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</si>
  <si>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</si>
  <si>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</si>
  <si>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</si>
  <si>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</si>
  <si>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</si>
  <si>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</si>
  <si>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</si>
  <si>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</si>
  <si>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</si>
  <si>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</si>
  <si>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</si>
  <si>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</si>
  <si>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</si>
  <si>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</si>
  <si>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</si>
  <si>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</si>
  <si>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</si>
  <si>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</si>
  <si>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</si>
  <si>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</si>
  <si>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</si>
  <si>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</si>
  <si>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</si>
  <si>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</si>
  <si>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</si>
  <si>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</si>
  <si>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</si>
  <si>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</si>
  <si>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</si>
  <si>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</si>
  <si>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</si>
  <si>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</si>
  <si>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</si>
  <si>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</si>
  <si>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</si>
  <si>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</si>
  <si>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</si>
  <si>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</si>
  <si>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</si>
  <si>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</si>
  <si>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</si>
  <si>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</si>
  <si>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</si>
  <si>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</si>
  <si>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</si>
  <si>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</si>
  <si>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</si>
  <si>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</si>
  <si>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</si>
  <si>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</si>
  <si>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</si>
  <si>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</si>
  <si>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</si>
  <si>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</si>
  <si>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</si>
  <si>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</si>
  <si>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</si>
  <si>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</si>
  <si>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</si>
  <si>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</si>
  <si>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</si>
  <si>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</si>
  <si>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</si>
  <si>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</si>
  <si>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</si>
  <si>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</si>
  <si>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</si>
  <si>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</si>
  <si>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</si>
  <si>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</si>
  <si>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</si>
  <si>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</si>
  <si>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</si>
  <si>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</si>
  <si>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</si>
  <si>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</si>
  <si>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</si>
  <si>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</si>
  <si>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</si>
  <si>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</si>
  <si>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</si>
  <si>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</si>
  <si>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</si>
  <si>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</si>
  <si>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</si>
  <si>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</si>
  <si>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</si>
  <si>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</si>
  <si>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</si>
  <si>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</si>
  <si>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</si>
  <si>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</si>
  <si>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</si>
  <si>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</si>
  <si>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</si>
  <si>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</si>
  <si>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</si>
  <si>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</si>
  <si>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</si>
  <si>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</si>
  <si>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</si>
  <si>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</si>
  <si>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</si>
  <si>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</si>
  <si>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</si>
  <si>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</si>
  <si>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</si>
  <si>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</si>
  <si>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</si>
  <si>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</si>
  <si>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</si>
  <si>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</si>
  <si>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</si>
  <si>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</si>
  <si>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</si>
  <si>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</si>
  <si>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</si>
  <si>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</si>
  <si>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</si>
  <si>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</si>
  <si>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</si>
  <si>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</si>
  <si>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</si>
  <si>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</si>
  <si>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</si>
  <si>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</si>
  <si>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</si>
  <si>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</si>
  <si>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</si>
  <si>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</si>
  <si>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</si>
  <si>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</si>
  <si>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</si>
  <si>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</si>
  <si>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</si>
  <si>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</si>
  <si>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</si>
  <si>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</si>
  <si>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</si>
  <si>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</si>
  <si>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</si>
  <si>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</si>
  <si>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</si>
  <si>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</si>
  <si>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</si>
  <si>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</si>
  <si>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</si>
  <si>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</si>
  <si>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</si>
  <si>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</si>
  <si>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</si>
  <si>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</si>
  <si>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</si>
  <si>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</si>
  <si>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</si>
  <si>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</si>
  <si>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</si>
  <si>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</si>
  <si>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</si>
  <si>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</si>
  <si>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</si>
  <si>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</si>
  <si>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</si>
  <si>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</si>
  <si>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</si>
  <si>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</si>
  <si>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</si>
  <si>
    <t>COUNT OF EMPLOYEES NUMBER</t>
  </si>
  <si>
    <t>SUM OF CF_ATTRITION COUNT</t>
  </si>
  <si>
    <t>AVERAGE AGE</t>
  </si>
  <si>
    <t>TOTAL EMPLOYEES</t>
  </si>
  <si>
    <t>COUNT OF EMPLOYEE NUMBER</t>
  </si>
  <si>
    <t>ATTRITION COUNT</t>
  </si>
  <si>
    <t>ACTIVE EMPLOYEE</t>
  </si>
  <si>
    <t>ATTRTION RATE</t>
  </si>
  <si>
    <t>AVERAGE JOB SATISFACTION</t>
  </si>
  <si>
    <t>RATING</t>
  </si>
  <si>
    <t>REMAINING RATING</t>
  </si>
  <si>
    <t>COUNT OF NUMBER OF EMPLOYEES</t>
  </si>
  <si>
    <t>GENDER</t>
  </si>
  <si>
    <t>FEMALE</t>
  </si>
  <si>
    <t>MALE</t>
  </si>
  <si>
    <t>EDUCATION</t>
  </si>
  <si>
    <t>JOB ROLE</t>
  </si>
  <si>
    <t>ATTRITION</t>
  </si>
  <si>
    <t>DEPARTMENTS</t>
  </si>
  <si>
    <t>DEPARTMENT</t>
  </si>
  <si>
    <t>ATTRITION RATE</t>
  </si>
  <si>
    <t>CF_AGE BAND</t>
  </si>
  <si>
    <t>MARITAL SATUS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</si>
</sst>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4" fontId="3" fillId="0" borderId="0" xfId="0" applyNumberFormat="1" applyFont="1"/>
    <xf numFmtId="0" fontId="3" fillId="3" borderId="0" xfId="0" applyFont="1" applyFill="1"/>
    <xf numFmtId="0" fontId="0" fillId="4" borderId="1" xfId="0" applyFill="1" applyBorder="1"/>
    <xf numFmtId="164" fontId="0" fillId="0" borderId="1" xfId="0" applyNumberFormat="1" applyBorder="1"/>
    <xf numFmtId="10" fontId="0" fillId="0" borderId="1" xfId="1" applyNumberFormat="1" applyFont="1" applyBorder="1"/>
    <xf numFmtId="0" fontId="0" fillId="0" borderId="1" xfId="0" applyBorder="1"/>
    <xf numFmtId="0" fontId="0" fillId="5" borderId="1" xfId="0" applyFill="1" applyBorder="1"/>
    <xf numFmtId="0" fontId="2" fillId="6" borderId="1" xfId="0" applyFont="1" applyFill="1" applyBorder="1"/>
  </cellXfs>
  <cellStyles count="2">
    <cellStyle name="Normal" xfId="0" builtinId="0"/>
    <cellStyle name="Percent" xfId="1" builtinId="5"/>
  </cellStyles>
  <dxfs count="2">
    <dxf>
      <numFmt numFmtId="164" formatCode="0.0"/>
    </dxf>
    <dxf>
      <font>
        <b val="0"/>
        <i val="0"/>
        <strike val="0"/>
        <condense val="0"/>
        <extend val="0"/>
        <outline val="0"/>
        <shadow val="0"/>
        <u val="none"/>
        <vertAlign val="baseline"/>
        <sz val="12"/>
        <color theme="1"/>
        <name val="Calibri"/>
        <family val="2"/>
        <scheme val="minor"/>
      </font>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microsoft.com/office/2007/relationships/slicerCache" Target="slicerCaches/slicerCache13.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doughnutChart>
        <c:varyColors val="1"/>
        <c:ser>
          <c:idx val="0"/>
          <c:order val="0"/>
          <c:dPt>
            <c:idx val="0"/>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430-4C11-94EF-907E3BAC3DFD}"/>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430-4C11-94EF-907E3BAC3DFD}"/>
              </c:ext>
            </c:extLst>
          </c:dPt>
          <c:val>
            <c:numRef>
              <c:f>Rating!$C$16:$C$17</c:f>
              <c:numCache>
                <c:formatCode>0.00%</c:formatCode>
                <c:ptCount val="2"/>
                <c:pt idx="0">
                  <c:v>0.65663265306122454</c:v>
                </c:pt>
                <c:pt idx="1">
                  <c:v>0.34336734693877546</c:v>
                </c:pt>
              </c:numCache>
            </c:numRef>
          </c:val>
          <c:extLst>
            <c:ext xmlns:c16="http://schemas.microsoft.com/office/drawing/2014/chart" uri="{C3380CC4-5D6E-409C-BE32-E72D297353CC}">
              <c16:uniqueId val="{00000000-6AFC-4656-887D-8DDF46EF7C3B}"/>
            </c:ext>
          </c:extLst>
        </c:ser>
        <c:dLbls>
          <c:showLegendKey val="0"/>
          <c:showVal val="0"/>
          <c:showCatName val="0"/>
          <c:showSerName val="0"/>
          <c:showPercent val="0"/>
          <c:showBubbleSize val="0"/>
          <c:showLeaderLines val="1"/>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1ED1-4C04-8E06-9C9ECF2DF8DD}"/>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1-DF4E-46E7-B72E-FF44E586D9FE}"/>
              </c:ext>
            </c:extLst>
          </c:dPt>
          <c:val>
            <c:numRef>
              <c:f>'Employee by Gender'!$W$8:$W$9</c:f>
              <c:numCache>
                <c:formatCode>0%</c:formatCode>
                <c:ptCount val="2"/>
                <c:pt idx="0">
                  <c:v>0.4</c:v>
                </c:pt>
                <c:pt idx="1">
                  <c:v>0.6</c:v>
                </c:pt>
              </c:numCache>
            </c:numRef>
          </c:val>
          <c:extLst>
            <c:ext xmlns:c16="http://schemas.microsoft.com/office/drawing/2014/chart" uri="{C3380CC4-5D6E-409C-BE32-E72D297353CC}">
              <c16:uniqueId val="{00000000-DF4E-46E7-B72E-FF44E586D9F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bg2"/>
              </a:solidFill>
              <a:ln w="19050">
                <a:solidFill>
                  <a:schemeClr val="lt1"/>
                </a:solidFill>
              </a:ln>
              <a:effectLst/>
            </c:spPr>
            <c:extLst>
              <c:ext xmlns:c16="http://schemas.microsoft.com/office/drawing/2014/chart" uri="{C3380CC4-5D6E-409C-BE32-E72D297353CC}">
                <c16:uniqueId val="{00000001-9974-47CC-A51F-903D9DD7DB44}"/>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9F33-42D7-8DC0-841D7BFE8C83}"/>
              </c:ext>
            </c:extLst>
          </c:dPt>
          <c:val>
            <c:numRef>
              <c:f>'Employee by Gender'!$W$8:$W$9</c:f>
              <c:numCache>
                <c:formatCode>0%</c:formatCode>
                <c:ptCount val="2"/>
                <c:pt idx="0">
                  <c:v>0.4</c:v>
                </c:pt>
                <c:pt idx="1">
                  <c:v>0.6</c:v>
                </c:pt>
              </c:numCache>
            </c:numRef>
          </c:val>
          <c:extLst>
            <c:ext xmlns:c16="http://schemas.microsoft.com/office/drawing/2014/chart" uri="{C3380CC4-5D6E-409C-BE32-E72D297353CC}">
              <c16:uniqueId val="{00000000-9974-47CC-A51F-903D9DD7DB4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Attrition!PivotTable17</c:name>
    <c:fmtId val="0"/>
  </c:pivotSource>
  <c:chart>
    <c:autoTitleDeleted val="1"/>
    <c:pivotFmts>
      <c:pivotFmt>
        <c:idx val="0"/>
        <c:spPr>
          <a:gradFill flip="none" rotWithShape="1">
            <a:gsLst>
              <a:gs pos="0">
                <a:schemeClr val="accent2">
                  <a:lumMod val="67000"/>
                </a:schemeClr>
              </a:gs>
              <a:gs pos="54000">
                <a:schemeClr val="accent2">
                  <a:lumMod val="97000"/>
                  <a:lumOff val="3000"/>
                </a:schemeClr>
              </a:gs>
              <a:gs pos="83000">
                <a:srgbClr val="EE8137"/>
              </a:gs>
              <a:gs pos="100000">
                <a:schemeClr val="accent2">
                  <a:lumMod val="97000"/>
                  <a:lumOff val="3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Attrition'!$N$1</c:f>
              <c:strCache>
                <c:ptCount val="1"/>
                <c:pt idx="0">
                  <c:v>Total</c:v>
                </c:pt>
              </c:strCache>
            </c:strRef>
          </c:tx>
          <c:spPr>
            <a:gradFill flip="none" rotWithShape="1">
              <a:gsLst>
                <a:gs pos="0">
                  <a:schemeClr val="accent2">
                    <a:lumMod val="67000"/>
                  </a:schemeClr>
                </a:gs>
                <a:gs pos="54000">
                  <a:schemeClr val="accent2">
                    <a:lumMod val="97000"/>
                    <a:lumOff val="3000"/>
                  </a:schemeClr>
                </a:gs>
                <a:gs pos="83000">
                  <a:srgbClr val="EE8137"/>
                </a:gs>
                <a:gs pos="100000">
                  <a:schemeClr val="accent2">
                    <a:lumMod val="97000"/>
                    <a:lumOff val="3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Algerian" panose="04020705040A02060702" pitchFamily="8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Attrition'!$M$2:$M$7</c:f>
              <c:strCache>
                <c:ptCount val="5"/>
                <c:pt idx="0">
                  <c:v>Doctoral Degree</c:v>
                </c:pt>
                <c:pt idx="1">
                  <c:v>High School</c:v>
                </c:pt>
                <c:pt idx="2">
                  <c:v>Associates Degree</c:v>
                </c:pt>
                <c:pt idx="3">
                  <c:v>Master's Degree</c:v>
                </c:pt>
                <c:pt idx="4">
                  <c:v>Bachelor's Degree</c:v>
                </c:pt>
              </c:strCache>
            </c:strRef>
          </c:cat>
          <c:val>
            <c:numRef>
              <c:f>'Education-wise Attrition'!$N$2:$N$7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8BC-4D0B-8A98-2FB00F68CE2B}"/>
            </c:ext>
          </c:extLst>
        </c:ser>
        <c:dLbls>
          <c:dLblPos val="outEnd"/>
          <c:showLegendKey val="0"/>
          <c:showVal val="1"/>
          <c:showCatName val="0"/>
          <c:showSerName val="0"/>
          <c:showPercent val="0"/>
          <c:showBubbleSize val="0"/>
        </c:dLbls>
        <c:gapWidth val="182"/>
        <c:axId val="22809184"/>
        <c:axId val="22806784"/>
      </c:barChart>
      <c:catAx>
        <c:axId val="22809184"/>
        <c:scaling>
          <c:orientation val="minMax"/>
        </c:scaling>
        <c:delete val="1"/>
        <c:axPos val="l"/>
        <c:numFmt formatCode="General" sourceLinked="1"/>
        <c:majorTickMark val="none"/>
        <c:minorTickMark val="none"/>
        <c:tickLblPos val="nextTo"/>
        <c:crossAx val="22806784"/>
        <c:crosses val="autoZero"/>
        <c:auto val="1"/>
        <c:lblAlgn val="ctr"/>
        <c:lblOffset val="100"/>
        <c:noMultiLvlLbl val="0"/>
      </c:catAx>
      <c:valAx>
        <c:axId val="22806784"/>
        <c:scaling>
          <c:orientation val="minMax"/>
        </c:scaling>
        <c:delete val="1"/>
        <c:axPos val="b"/>
        <c:numFmt formatCode="General" sourceLinked="1"/>
        <c:majorTickMark val="none"/>
        <c:minorTickMark val="none"/>
        <c:tickLblPos val="nextTo"/>
        <c:crossAx val="2280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B471BB64-8A2C-47BD-8153-B40DF234252D}" type="CELLRANGE">
                      <a:rPr lang="en-US"/>
                      <a:pPr/>
                      <a:t>[CELLRANGE]</a:t>
                    </a:fld>
                    <a:r>
                      <a:rPr lang="en-US" baseline="0"/>
                      <a:t>, </a:t>
                    </a:r>
                    <a:fld id="{D3D68D9B-CE75-4203-8B3C-FA563F4495B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50257150-0D0B-4169-91E4-F374C92C06FA}" type="CELLRANGE">
                      <a:rPr lang="en-US"/>
                      <a:pPr/>
                      <a:t>[CELLRANGE]</a:t>
                    </a:fld>
                    <a:r>
                      <a:rPr lang="en-US" baseline="0"/>
                      <a:t>, </a:t>
                    </a:r>
                    <a:fld id="{DF8F5441-679C-4DE1-9DB4-4D6C84121DA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3A339578-D7B4-4F42-977B-665F6C973A76}" type="CELLRANGE">
                      <a:rPr lang="en-US"/>
                      <a:pPr/>
                      <a:t>[CELLRANGE]</a:t>
                    </a:fld>
                    <a:r>
                      <a:rPr lang="en-US" baseline="0"/>
                      <a:t>, </a:t>
                    </a:r>
                    <a:fld id="{288C3035-8911-4FFE-9DE5-E462CB7604C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800721784776903"/>
          <c:y val="0.16708333333333336"/>
          <c:w val="0.40287467191601051"/>
          <c:h val="0.6714577865266842"/>
        </c:manualLayout>
      </c:layout>
      <c:pieChart>
        <c:varyColors val="1"/>
        <c:ser>
          <c:idx val="0"/>
          <c:order val="0"/>
          <c:dPt>
            <c:idx val="0"/>
            <c:bubble3D val="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19050">
                <a:solidFill>
                  <a:schemeClr val="lt1"/>
                </a:solidFill>
              </a:ln>
              <a:effectLst/>
            </c:spPr>
            <c:extLst>
              <c:ext xmlns:c16="http://schemas.microsoft.com/office/drawing/2014/chart" uri="{C3380CC4-5D6E-409C-BE32-E72D297353CC}">
                <c16:uniqueId val="{00000003-8AA7-4A80-BDA4-B02EFAD96286}"/>
              </c:ext>
            </c:extLst>
          </c:dPt>
          <c:dPt>
            <c:idx val="1"/>
            <c:bubble3D val="0"/>
            <c:explosion val="2"/>
            <c:spPr>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n w="19050">
                <a:solidFill>
                  <a:schemeClr val="lt1"/>
                </a:solidFill>
              </a:ln>
              <a:effectLst/>
            </c:spPr>
            <c:extLst>
              <c:ext xmlns:c16="http://schemas.microsoft.com/office/drawing/2014/chart" uri="{C3380CC4-5D6E-409C-BE32-E72D297353CC}">
                <c16:uniqueId val="{00000001-8AA7-4A80-BDA4-B02EFAD96286}"/>
              </c:ext>
            </c:extLst>
          </c:dPt>
          <c:dPt>
            <c:idx val="2"/>
            <c:bubble3D val="0"/>
            <c:explosion val="1"/>
            <c:spPr>
              <a:gradFill flip="none" rotWithShape="1">
                <a:gsLst>
                  <a:gs pos="0">
                    <a:schemeClr val="accent1">
                      <a:lumMod val="40000"/>
                      <a:lumOff val="60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2-8AA7-4A80-BDA4-B02EFAD96286}"/>
              </c:ext>
            </c:extLst>
          </c:dPt>
          <c:dLbls>
            <c:dLbl>
              <c:idx val="0"/>
              <c:tx>
                <c:rich>
                  <a:bodyPr/>
                  <a:lstStyle/>
                  <a:p>
                    <a:r>
                      <a:rPr lang="en-US"/>
                      <a:t>HR,</a:t>
                    </a:r>
                    <a:fld id="{D5697C44-056D-4B61-A055-1975F1D8A746}"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AA7-4A80-BDA4-B02EFAD96286}"/>
                </c:ext>
              </c:extLst>
            </c:dLbl>
            <c:dLbl>
              <c:idx val="1"/>
              <c:tx>
                <c:rich>
                  <a:bodyPr/>
                  <a:lstStyle/>
                  <a:p>
                    <a:r>
                      <a:rPr lang="en-US"/>
                      <a:t>R&amp;D,</a:t>
                    </a:r>
                    <a:fld id="{D5129E07-DCB6-4799-BAAB-0BE7760ACAAB}"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AA7-4A80-BDA4-B02EFAD96286}"/>
                </c:ext>
              </c:extLst>
            </c:dLbl>
            <c:dLbl>
              <c:idx val="2"/>
              <c:tx>
                <c:rich>
                  <a:bodyPr/>
                  <a:lstStyle/>
                  <a:p>
                    <a:r>
                      <a:rPr lang="en-US"/>
                      <a:t>SALES,</a:t>
                    </a:r>
                    <a:fld id="{B4AD6CBD-C733-44CB-85B8-FE8FE37E4482}"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AA7-4A80-BDA4-B02EFAD9628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SemiLight" panose="020B0502040204020203"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s>
          <c:val>
            <c:numRef>
              <c:f>'Department-wise Attrition'!$N$9:$N$11</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AA7-4A80-BDA4-B02EFAD962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Age-Group!PivotTable23</c:name>
    <c:fmtId val="0"/>
  </c:pivotSource>
  <c:chart>
    <c:autoTitleDeleted val="1"/>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scene3d>
            <a:camera prst="orthographicFront"/>
            <a:lightRig rig="threePt" dir="t"/>
          </a:scene3d>
          <a:sp3d>
            <a:bevelT w="50800"/>
            <a:bevelB w="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26328484981044037"/>
          <c:w val="0.89019685039370078"/>
          <c:h val="0.53774387576552929"/>
        </c:manualLayout>
      </c:layout>
      <c:barChart>
        <c:barDir val="col"/>
        <c:grouping val="clustered"/>
        <c:varyColors val="0"/>
        <c:ser>
          <c:idx val="0"/>
          <c:order val="0"/>
          <c:tx>
            <c:strRef>
              <c:f>'Attrition By Age-Group'!$G$2</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scene3d>
              <a:camera prst="orthographicFront"/>
              <a:lightRig rig="threePt" dir="t"/>
            </a:scene3d>
            <a:sp3d>
              <a:bevelT w="50800"/>
              <a:bevelB w="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Age-Group'!$F$3:$F$8</c:f>
              <c:strCache>
                <c:ptCount val="5"/>
                <c:pt idx="0">
                  <c:v>25 - 34</c:v>
                </c:pt>
                <c:pt idx="1">
                  <c:v>35 - 44</c:v>
                </c:pt>
                <c:pt idx="2">
                  <c:v>45 - 54</c:v>
                </c:pt>
                <c:pt idx="3">
                  <c:v>Under 25</c:v>
                </c:pt>
                <c:pt idx="4">
                  <c:v>Over 55</c:v>
                </c:pt>
              </c:strCache>
            </c:strRef>
          </c:cat>
          <c:val>
            <c:numRef>
              <c:f>'Attrition By Age-Group'!$G$3:$G$8</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3BB7-4C59-9E62-09D99A938962}"/>
            </c:ext>
          </c:extLst>
        </c:ser>
        <c:dLbls>
          <c:dLblPos val="outEnd"/>
          <c:showLegendKey val="0"/>
          <c:showVal val="1"/>
          <c:showCatName val="0"/>
          <c:showSerName val="0"/>
          <c:showPercent val="0"/>
          <c:showBubbleSize val="0"/>
        </c:dLbls>
        <c:gapWidth val="102"/>
        <c:axId val="486854864"/>
        <c:axId val="486852464"/>
      </c:barChart>
      <c:catAx>
        <c:axId val="48685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52464"/>
        <c:crosses val="autoZero"/>
        <c:auto val="1"/>
        <c:lblAlgn val="ctr"/>
        <c:lblOffset val="100"/>
        <c:noMultiLvlLbl val="0"/>
      </c:catAx>
      <c:valAx>
        <c:axId val="486852464"/>
        <c:scaling>
          <c:orientation val="minMax"/>
        </c:scaling>
        <c:delete val="1"/>
        <c:axPos val="l"/>
        <c:numFmt formatCode="General" sourceLinked="1"/>
        <c:majorTickMark val="out"/>
        <c:minorTickMark val="none"/>
        <c:tickLblPos val="nextTo"/>
        <c:crossAx val="486854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8D5DEB70-4394-487C-8E92-4C009E837710}" type="CELLRANGE">
                      <a:rPr lang="en-US"/>
                      <a:pPr/>
                      <a:t>[CELLRANGE]</a:t>
                    </a:fld>
                    <a:r>
                      <a:rPr lang="en-US" baseline="0"/>
                      <a:t>, </a:t>
                    </a:r>
                    <a:fld id="{F4029FB3-87B1-48A4-AA85-6F59FBE5105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2C50CD38-025D-448C-85B3-997D86DADAA3}" type="CELLRANGE">
                      <a:rPr lang="en-US"/>
                      <a:pPr/>
                      <a:t>[CELLRANGE]</a:t>
                    </a:fld>
                    <a:r>
                      <a:rPr lang="en-US" baseline="0"/>
                      <a:t>, </a:t>
                    </a:r>
                    <a:fld id="{11228988-5457-4CD7-8785-7C680D8E737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EAA43B23-40CA-453F-9F7F-4F4020F4D053}" type="CELLRANGE">
                      <a:rPr lang="en-US"/>
                      <a:pPr/>
                      <a:t>[CELLRANGE]</a:t>
                    </a:fld>
                    <a:r>
                      <a:rPr lang="en-US" baseline="0"/>
                      <a:t>, </a:t>
                    </a:r>
                    <a:fld id="{1C09E143-B329-413F-BC1F-BC2C19F3B539}"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8767129567375277"/>
          <c:y val="0.20659716573787026"/>
          <c:w val="0.44406378739166047"/>
          <c:h val="0.67534731098334677"/>
        </c:manualLayout>
      </c:layout>
      <c:doughnutChart>
        <c:varyColors val="1"/>
        <c:ser>
          <c:idx val="0"/>
          <c:order val="0"/>
          <c:dPt>
            <c:idx val="0"/>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5B-414E-B2E9-CCC060E4ADD9}"/>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5B-414E-B2E9-CCC060E4ADD9}"/>
              </c:ext>
            </c:extLst>
          </c:dPt>
          <c:val>
            <c:numRef>
              <c:f>Rating!$C$16:$C$17</c:f>
              <c:numCache>
                <c:formatCode>0.00%</c:formatCode>
                <c:ptCount val="2"/>
                <c:pt idx="0">
                  <c:v>0.65663265306122454</c:v>
                </c:pt>
                <c:pt idx="1">
                  <c:v>0.34336734693877546</c:v>
                </c:pt>
              </c:numCache>
            </c:numRef>
          </c:val>
          <c:extLst>
            <c:ext xmlns:c16="http://schemas.microsoft.com/office/drawing/2014/chart" uri="{C3380CC4-5D6E-409C-BE32-E72D297353CC}">
              <c16:uniqueId val="{00000004-A25B-414E-B2E9-CCC060E4ADD9}"/>
            </c:ext>
          </c:extLst>
        </c:ser>
        <c:dLbls>
          <c:showLegendKey val="0"/>
          <c:showVal val="0"/>
          <c:showCatName val="0"/>
          <c:showSerName val="0"/>
          <c:showPercent val="0"/>
          <c:showBubbleSize val="0"/>
          <c:showLeaderLines val="1"/>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27855711422843"/>
          <c:y val="0.1111111111111111"/>
          <c:w val="0.6112224448897795"/>
          <c:h val="0.84722222222222221"/>
        </c:manualLayout>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17C9-47AE-B413-01AD9873BE75}"/>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17C9-47AE-B413-01AD9873BE7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17C9-47AE-B413-01AD9873BE7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1"/>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8854-4C0E-8DBB-47D4764B164D}"/>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8854-4C0E-8DBB-47D4764B164D}"/>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8854-4C0E-8DBB-47D4764B16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5"/>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900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114300"/>
            <a:bevelB w="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900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114300"/>
              <a:bevelB w="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772-4EE7-9564-54E328A67A0C}"/>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0"/>
        <c:ser>
          <c:idx val="0"/>
          <c:order val="0"/>
          <c:spPr>
            <a:solidFill>
              <a:schemeClr val="accent1"/>
            </a:solidFill>
            <a:ln w="19050">
              <a:solidFill>
                <a:schemeClr val="lt1"/>
              </a:solidFill>
            </a:ln>
            <a:effectLst/>
          </c:spPr>
          <c:explosion val="3"/>
          <c:dPt>
            <c:idx val="0"/>
            <c:bubble3D val="0"/>
            <c:spPr>
              <a:solidFill>
                <a:schemeClr val="accent1"/>
              </a:solidFill>
              <a:ln w="19050">
                <a:solidFill>
                  <a:schemeClr val="lt1"/>
                </a:solidFill>
              </a:ln>
              <a:effectLst/>
              <a:scene3d>
                <a:camera prst="orthographicFront"/>
                <a:lightRig rig="threePt" dir="t"/>
              </a:scene3d>
              <a:sp3d>
                <a:bevelT w="57150"/>
              </a:sp3d>
            </c:spPr>
            <c:extLst>
              <c:ext xmlns:c16="http://schemas.microsoft.com/office/drawing/2014/chart" uri="{C3380CC4-5D6E-409C-BE32-E72D297353CC}">
                <c16:uniqueId val="{00000001-4EAA-4322-8144-A5BBF2C51F75}"/>
              </c:ext>
            </c:extLst>
          </c:dPt>
          <c:dPt>
            <c:idx val="1"/>
            <c:bubble3D val="0"/>
            <c:spPr>
              <a:gradFill>
                <a:gsLst>
                  <a:gs pos="74000">
                    <a:schemeClr val="accent4">
                      <a:lumMod val="60000"/>
                      <a:lumOff val="40000"/>
                    </a:schemeClr>
                  </a:gs>
                  <a:gs pos="0">
                    <a:schemeClr val="accent2">
                      <a:lumMod val="20000"/>
                      <a:lumOff val="80000"/>
                    </a:schemeClr>
                  </a:gs>
                </a:gsLst>
                <a:path path="circle">
                  <a:fillToRect l="100000" t="100000"/>
                </a:path>
              </a:gradFill>
              <a:ln w="19050">
                <a:solidFill>
                  <a:schemeClr val="lt1"/>
                </a:solidFill>
              </a:ln>
              <a:effectLst/>
              <a:scene3d>
                <a:camera prst="orthographicFront"/>
                <a:lightRig rig="threePt" dir="t"/>
              </a:scene3d>
              <a:sp3d>
                <a:bevelT w="95250"/>
              </a:sp3d>
            </c:spPr>
            <c:extLst>
              <c:ext xmlns:c16="http://schemas.microsoft.com/office/drawing/2014/chart" uri="{C3380CC4-5D6E-409C-BE32-E72D297353CC}">
                <c16:uniqueId val="{00000003-4EAA-4322-8144-A5BBF2C51F75}"/>
              </c:ext>
            </c:extLst>
          </c:dPt>
          <c:dPt>
            <c:idx val="2"/>
            <c:bubble3D val="0"/>
            <c:spPr>
              <a:gradFill>
                <a:gsLst>
                  <a:gs pos="52000">
                    <a:schemeClr val="accent1">
                      <a:lumMod val="40000"/>
                      <a:lumOff val="60000"/>
                    </a:schemeClr>
                  </a:gs>
                  <a:gs pos="34000">
                    <a:schemeClr val="accent2">
                      <a:lumMod val="20000"/>
                      <a:lumOff val="80000"/>
                    </a:schemeClr>
                  </a:gs>
                </a:gsLst>
                <a:path path="circle">
                  <a:fillToRect l="100000" t="100000"/>
                </a:path>
              </a:gradFill>
              <a:ln w="19050">
                <a:solidFill>
                  <a:schemeClr val="lt1"/>
                </a:solidFill>
              </a:ln>
              <a:effectLst/>
              <a:scene3d>
                <a:camera prst="orthographicFront"/>
                <a:lightRig rig="threePt" dir="t"/>
              </a:scene3d>
              <a:sp3d>
                <a:bevelT w="57150"/>
              </a:sp3d>
            </c:spPr>
            <c:extLst>
              <c:ext xmlns:c16="http://schemas.microsoft.com/office/drawing/2014/chart" uri="{C3380CC4-5D6E-409C-BE32-E72D297353CC}">
                <c16:uniqueId val="{00000005-4EAA-4322-8144-A5BBF2C51F75}"/>
              </c:ext>
            </c:extLst>
          </c:dPt>
          <c:dLbls>
            <c:dLbl>
              <c:idx val="0"/>
              <c:tx>
                <c:rich>
                  <a:bodyPr/>
                  <a:lstStyle/>
                  <a:p>
                    <a:fld id="{FCA006F8-19CD-4404-B59A-8E0D9A336CA3}" type="CELLRANGE">
                      <a:rPr lang="en-US"/>
                      <a:pPr/>
                      <a:t>[CELLRANGE]</a:t>
                    </a:fld>
                    <a:r>
                      <a:rPr lang="en-US" baseline="0"/>
                      <a:t>, </a:t>
                    </a:r>
                    <a:fld id="{6FA854B5-0CC5-4691-A7F8-73AC425CDD5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EAA-4322-8144-A5BBF2C51F75}"/>
                </c:ext>
              </c:extLst>
            </c:dLbl>
            <c:dLbl>
              <c:idx val="1"/>
              <c:tx>
                <c:rich>
                  <a:bodyPr/>
                  <a:lstStyle/>
                  <a:p>
                    <a:fld id="{064BED7F-8F13-496F-9A37-A4000270BA71}" type="CELLRANGE">
                      <a:rPr lang="en-US"/>
                      <a:pPr/>
                      <a:t>[CELLRANGE]</a:t>
                    </a:fld>
                    <a:r>
                      <a:rPr lang="en-US" baseline="0"/>
                      <a:t>, </a:t>
                    </a:r>
                    <a:fld id="{7DE4B1CE-3265-4A42-AE5F-F8FD4624EC3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EAA-4322-8144-A5BBF2C51F75}"/>
                </c:ext>
              </c:extLst>
            </c:dLbl>
            <c:dLbl>
              <c:idx val="2"/>
              <c:tx>
                <c:rich>
                  <a:bodyPr/>
                  <a:lstStyle/>
                  <a:p>
                    <a:fld id="{28D7B091-F805-46DA-B6D3-BEF522825833}" type="CELLRANGE">
                      <a:rPr lang="en-US"/>
                      <a:pPr/>
                      <a:t>[CELLRANGE]</a:t>
                    </a:fld>
                    <a:r>
                      <a:rPr lang="en-US" baseline="0"/>
                      <a:t>, </a:t>
                    </a:r>
                    <a:fld id="{D9DE7838-DDE6-4E2B-BFD2-7CCDE704896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EAA-4322-8144-A5BBF2C51F7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4EAA-4322-8144-A5BBF2C51F7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8"/>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5000">
                <a:schemeClr val="accent1">
                  <a:lumMod val="97000"/>
                  <a:lumOff val="3000"/>
                </a:schemeClr>
              </a:gs>
              <a:gs pos="81000">
                <a:srgbClr val="FF0000"/>
              </a:gs>
            </a:gsLst>
            <a:path path="circle">
              <a:fillToRect l="100000" t="100000"/>
            </a:path>
            <a:tileRect r="-100000" b="-100000"/>
          </a:gradFill>
          <a:ln>
            <a:noFill/>
          </a:ln>
          <a:effectLst/>
          <a:scene3d>
            <a:camera prst="orthographicFront"/>
            <a:lightRig rig="threePt" dir="t"/>
          </a:scene3d>
          <a:sp3d>
            <a:bevelT w="95250"/>
            <a:bevelB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01066829871237E-2"/>
          <c:y val="0.20241856264696576"/>
          <c:w val="0.92379786634025751"/>
          <c:h val="0.62016459648074429"/>
        </c:manualLayout>
      </c:layout>
      <c:barChart>
        <c:barDir val="col"/>
        <c:grouping val="clustered"/>
        <c:varyColors val="0"/>
        <c:ser>
          <c:idx val="0"/>
          <c:order val="0"/>
          <c:tx>
            <c:strRef>
              <c:f>'Attrition By Age-Group'!$B$3</c:f>
              <c:strCache>
                <c:ptCount val="1"/>
                <c:pt idx="0">
                  <c:v>Total</c:v>
                </c:pt>
              </c:strCache>
            </c:strRef>
          </c:tx>
          <c:spPr>
            <a:gradFill flip="none" rotWithShape="1">
              <a:gsLst>
                <a:gs pos="15000">
                  <a:schemeClr val="accent1">
                    <a:lumMod val="97000"/>
                    <a:lumOff val="3000"/>
                  </a:schemeClr>
                </a:gs>
                <a:gs pos="81000">
                  <a:srgbClr val="FF0000"/>
                </a:gs>
              </a:gsLst>
              <a:path path="circle">
                <a:fillToRect l="100000" t="100000"/>
              </a:path>
              <a:tileRect r="-100000" b="-100000"/>
            </a:gradFill>
            <a:ln>
              <a:noFill/>
            </a:ln>
            <a:effectLst/>
            <a:scene3d>
              <a:camera prst="orthographicFront"/>
              <a:lightRig rig="threePt" dir="t"/>
            </a:scene3d>
            <a:sp3d>
              <a:bevelT w="95250"/>
              <a:bevelB w="6985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2A7E-43E8-A8F7-FEFDDF0EEAF5}"/>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BCCBC1D3-39C4-4B00-8194-548051AD767E}">
          <cx:tx>
            <cx:txData>
              <cx:f>_xlchart.v1.4</cx:f>
              <cx:v>ATTRITION</cx:v>
            </cx:txData>
          </cx:tx>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plotArea>
      <cx:plotAreaRegion>
        <cx:series layoutId="funnel" uniqueId="{0162A087-9384-4DF7-9EBD-554305E260EB}">
          <cx:dataLabels>
            <cx:txPr>
              <a:bodyPr spcFirstLastPara="1" vertOverflow="ellipsis" horzOverflow="overflow" wrap="square" lIns="0" tIns="0" rIns="0" bIns="0" anchor="ctr" anchorCtr="1"/>
              <a:lstStyle/>
              <a:p>
                <a:pPr algn="ctr" rtl="0">
                  <a:defRPr sz="2800">
                    <a:latin typeface="Algerian" panose="04020705040A02060702" pitchFamily="82" charset="0"/>
                    <a:ea typeface="Algerian" panose="04020705040A02060702" pitchFamily="82" charset="0"/>
                    <a:cs typeface="Algerian" panose="04020705040A02060702" pitchFamily="82" charset="0"/>
                  </a:defRPr>
                </a:pPr>
                <a:endParaRPr lang="en-US" sz="2800" b="0" i="0" u="none" strike="noStrike" baseline="0">
                  <a:solidFill>
                    <a:sysClr val="windowText" lastClr="000000">
                      <a:lumMod val="75000"/>
                      <a:lumOff val="25000"/>
                    </a:sysClr>
                  </a:solidFill>
                  <a:latin typeface="Algerian" panose="04020705040A02060702" pitchFamily="82" charset="0"/>
                </a:endParaRPr>
              </a:p>
            </cx:txPr>
            <cx:visibility seriesName="0" categoryName="0" value="1"/>
          </cx:dataLabels>
          <cx:dataId val="0"/>
        </cx:series>
      </cx:plotAreaRegion>
      <cx:axis id="0">
        <cx:catScaling gapWidth="0.200000003"/>
        <cx:title/>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E7725989-8B5B-D341-8478-E6A4692692CA}">
          <cx:tx>
            <cx:txData>
              <cx:f>_xlchart.v1.11</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_xlchart.v2.14</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size">
        <cx:f>_xlchart.v1.19</cx:f>
      </cx:numDim>
    </cx:data>
  </cx:chartData>
  <cx:chart>
    <cx:plotArea>
      <cx:plotAreaRegion>
        <cx:series layoutId="treemap" uniqueId="{E7725989-8B5B-D341-8478-E6A4692692CA}">
          <cx:tx>
            <cx:txData>
              <cx:f>_xlchart.v1.18</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_xlchart.v2.16</cx:f>
      </cx:numDim>
    </cx:data>
  </cx:chartData>
  <cx:chart>
    <cx:plotArea>
      <cx:plotAreaRegion>
        <cx:plotSurface>
          <cx:spPr>
            <a:noFill/>
            <a:ln>
              <a:noFill/>
            </a:ln>
          </cx:spPr>
        </cx:plotSurface>
        <cx:series layoutId="funnel" uniqueId="{15126953-9A30-F845-82EC-D421AFC96F7C}">
          <cx:spPr>
            <a:gradFill>
              <a:gsLst>
                <a:gs pos="68000">
                  <a:schemeClr val="accent6"/>
                </a:gs>
                <a:gs pos="0">
                  <a:schemeClr val="accent1">
                    <a:alpha val="78000"/>
                    <a:lumMod val="28000"/>
                  </a:schemeClr>
                </a:gs>
                <a:gs pos="100000">
                  <a:schemeClr val="accent1">
                    <a:lumMod val="60000"/>
                    <a:lumOff val="40000"/>
                  </a:schemeClr>
                </a:gs>
              </a:gsLst>
              <a:path path="circle">
                <a:fillToRect l="100000" t="100000"/>
              </a:path>
            </a:gradFill>
            <a:ln>
              <a:noFill/>
            </a:ln>
            <a:effectLst>
              <a:softEdge rad="12700"/>
            </a:effectLst>
          </cx:spPr>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Reversed" id="25">
  <a:schemeClr val="accent5"/>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8" Type="http://schemas.microsoft.com/office/2014/relationships/chartEx" Target="../charts/chartEx6.xml"/><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microsoft.com/office/2014/relationships/chartEx" Target="../charts/chartEx5.xml"/><Relationship Id="rId4"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png"/><Relationship Id="rId13" Type="http://schemas.microsoft.com/office/2014/relationships/chartEx" Target="../charts/chartEx8.xml"/><Relationship Id="rId3" Type="http://schemas.openxmlformats.org/officeDocument/2006/relationships/image" Target="../media/image8.emf"/><Relationship Id="rId7" Type="http://schemas.microsoft.com/office/2014/relationships/chartEx" Target="../charts/chartEx7.xml"/><Relationship Id="rId12"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image" Target="../media/image6.png"/><Relationship Id="rId6" Type="http://schemas.openxmlformats.org/officeDocument/2006/relationships/chart" Target="../charts/chart22.xml"/><Relationship Id="rId11" Type="http://schemas.openxmlformats.org/officeDocument/2006/relationships/image" Target="../media/image3.png"/><Relationship Id="rId5" Type="http://schemas.openxmlformats.org/officeDocument/2006/relationships/chart" Target="../charts/chart21.xml"/><Relationship Id="rId10" Type="http://schemas.openxmlformats.org/officeDocument/2006/relationships/chart" Target="../charts/chart23.xml"/><Relationship Id="rId4" Type="http://schemas.openxmlformats.org/officeDocument/2006/relationships/chart" Target="../charts/chart20.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8</xdr:col>
      <xdr:colOff>1635760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838200</xdr:colOff>
      <xdr:row>17</xdr:row>
      <xdr:rowOff>38101</xdr:rowOff>
    </xdr:from>
    <xdr:to>
      <xdr:col>2</xdr:col>
      <xdr:colOff>929640</xdr:colOff>
      <xdr:row>23</xdr:row>
      <xdr:rowOff>144781</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id="{FFE7F400-E9AE-D019-CC3E-7C6EED35F9EF}"/>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2705100" y="340614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144780</xdr:colOff>
      <xdr:row>0</xdr:row>
      <xdr:rowOff>83820</xdr:rowOff>
    </xdr:from>
    <xdr:to>
      <xdr:col>13</xdr:col>
      <xdr:colOff>144780</xdr:colOff>
      <xdr:row>14</xdr:row>
      <xdr:rowOff>83820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120012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605790</xdr:colOff>
      <xdr:row>17</xdr:row>
      <xdr:rowOff>133350</xdr:rowOff>
    </xdr:from>
    <xdr:to>
      <xdr:col>4</xdr:col>
      <xdr:colOff>693420</xdr:colOff>
      <xdr:row>31</xdr:row>
      <xdr:rowOff>68580</xdr:rowOff>
    </xdr:to>
    <xdr:graphicFrame macro="">
      <xdr:nvGraphicFramePr>
        <xdr:cNvPr id="2" name="Chart 1">
          <a:extLst>
            <a:ext uri="{FF2B5EF4-FFF2-40B4-BE49-F238E27FC236}">
              <a16:creationId xmlns:a16="http://schemas.microsoft.com/office/drawing/2014/main" id="{C5EB9557-816D-9D6F-3063-CC4E794E4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15240</xdr:colOff>
      <xdr:row>16</xdr:row>
      <xdr:rowOff>121920</xdr:rowOff>
    </xdr:from>
    <xdr:to>
      <xdr:col>6</xdr:col>
      <xdr:colOff>38100</xdr:colOff>
      <xdr:row>30</xdr:row>
      <xdr:rowOff>43815</xdr:rowOff>
    </xdr:to>
    <mc:AlternateContent xmlns:mc="http://schemas.openxmlformats.org/markup-compatibility/2006" xmlns:a14="http://schemas.microsoft.com/office/drawing/2010/main">
      <mc:Choice Requires="a14">
        <xdr:graphicFrame macro="">
          <xdr:nvGraphicFramePr>
            <xdr:cNvPr id="3" name="Education Field 4">
              <a:extLst>
                <a:ext uri="{FF2B5EF4-FFF2-40B4-BE49-F238E27FC236}">
                  <a16:creationId xmlns:a16="http://schemas.microsoft.com/office/drawing/2014/main" id="{3B29C2C6-16C3-3C3A-3672-ED34CC1CF538}"/>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5318760" y="33528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220980</xdr:colOff>
      <xdr:row>18</xdr:row>
      <xdr:rowOff>175261</xdr:rowOff>
    </xdr:from>
    <xdr:to>
      <xdr:col>8</xdr:col>
      <xdr:colOff>312420</xdr:colOff>
      <xdr:row>24</xdr:row>
      <xdr:rowOff>121921</xdr:rowOff>
    </xdr:to>
    <mc:AlternateContent xmlns:mc="http://schemas.openxmlformats.org/markup-compatibility/2006" xmlns:a14="http://schemas.microsoft.com/office/drawing/2010/main">
      <mc:Choice Requires="a14">
        <xdr:graphicFrame macro="">
          <xdr:nvGraphicFramePr>
            <xdr:cNvPr id="6" name="Gender 5">
              <a:extLst>
                <a:ext uri="{FF2B5EF4-FFF2-40B4-BE49-F238E27FC236}">
                  <a16:creationId xmlns:a16="http://schemas.microsoft.com/office/drawing/2014/main" id="{3F064F8D-E044-7E62-EC6B-34F7DA8A33BF}"/>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7330440" y="3802381"/>
              <a:ext cx="179832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147320</xdr:colOff>
      <xdr:row>18</xdr:row>
      <xdr:rowOff>0</xdr:rowOff>
    </xdr:from>
    <xdr:to>
      <xdr:col>16</xdr:col>
      <xdr:colOff>35560</xdr:colOff>
      <xdr:row>23</xdr:row>
      <xdr:rowOff>25400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795520" y="3566160"/>
              <a:ext cx="184658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48260</xdr:colOff>
      <xdr:row>30</xdr:row>
      <xdr:rowOff>149860</xdr:rowOff>
    </xdr:from>
    <xdr:to>
      <xdr:col>16</xdr:col>
      <xdr:colOff>180340</xdr:colOff>
      <xdr:row>43</xdr:row>
      <xdr:rowOff>132712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940300" y="6093460"/>
              <a:ext cx="1846580" cy="2558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82550</xdr:colOff>
      <xdr:row>29</xdr:row>
      <xdr:rowOff>38100</xdr:rowOff>
    </xdr:from>
    <xdr:to>
      <xdr:col>8</xdr:col>
      <xdr:colOff>21590</xdr:colOff>
      <xdr:row>42</xdr:row>
      <xdr:rowOff>139700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72390</xdr:colOff>
      <xdr:row>13</xdr:row>
      <xdr:rowOff>118110</xdr:rowOff>
    </xdr:from>
    <xdr:to>
      <xdr:col>25</xdr:col>
      <xdr:colOff>19050</xdr:colOff>
      <xdr:row>27</xdr:row>
      <xdr:rowOff>87630</xdr:rowOff>
    </xdr:to>
    <xdr:graphicFrame macro="">
      <xdr:nvGraphicFramePr>
        <xdr:cNvPr id="2" name="Chart 1">
          <a:extLst>
            <a:ext uri="{FF2B5EF4-FFF2-40B4-BE49-F238E27FC236}">
              <a16:creationId xmlns:a16="http://schemas.microsoft.com/office/drawing/2014/main" id="{8299A6C9-8DB4-1940-11E5-0CF969155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41910</xdr:colOff>
      <xdr:row>28</xdr:row>
      <xdr:rowOff>19050</xdr:rowOff>
    </xdr:from>
    <xdr:to>
      <xdr:col>24</xdr:col>
      <xdr:colOff>232410</xdr:colOff>
      <xdr:row>41</xdr:row>
      <xdr:rowOff>186690</xdr:rowOff>
    </xdr:to>
    <xdr:graphicFrame macro="">
      <xdr:nvGraphicFramePr>
        <xdr:cNvPr id="3" name="Chart 2">
          <a:extLst>
            <a:ext uri="{FF2B5EF4-FFF2-40B4-BE49-F238E27FC236}">
              <a16:creationId xmlns:a16="http://schemas.microsoft.com/office/drawing/2014/main" id="{0C50E3D3-7F3D-326C-7FDE-CFB8B68A7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175260</xdr:colOff>
      <xdr:row>27</xdr:row>
      <xdr:rowOff>167640</xdr:rowOff>
    </xdr:from>
    <xdr:to>
      <xdr:col>34</xdr:col>
      <xdr:colOff>53340</xdr:colOff>
      <xdr:row>41</xdr:row>
      <xdr:rowOff>89535</xdr:rowOff>
    </xdr:to>
    <mc:AlternateContent xmlns:mc="http://schemas.openxmlformats.org/markup-compatibility/2006" xmlns:a14="http://schemas.microsoft.com/office/drawing/2010/main">
      <mc:Choice Requires="a14">
        <xdr:graphicFrame macro="">
          <xdr:nvGraphicFramePr>
            <xdr:cNvPr id="8" name="Education Field 5">
              <a:extLst>
                <a:ext uri="{FF2B5EF4-FFF2-40B4-BE49-F238E27FC236}">
                  <a16:creationId xmlns:a16="http://schemas.microsoft.com/office/drawing/2014/main" id="{783CACEB-E7C5-4099-DDA9-83351A5940B2}"/>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12275820" y="55168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83820</xdr:colOff>
      <xdr:row>15</xdr:row>
      <xdr:rowOff>38101</xdr:rowOff>
    </xdr:from>
    <xdr:to>
      <xdr:col>33</xdr:col>
      <xdr:colOff>205740</xdr:colOff>
      <xdr:row>21</xdr:row>
      <xdr:rowOff>99061</xdr:rowOff>
    </xdr:to>
    <mc:AlternateContent xmlns:mc="http://schemas.openxmlformats.org/markup-compatibility/2006" xmlns:a14="http://schemas.microsoft.com/office/drawing/2010/main">
      <mc:Choice Requires="a14">
        <xdr:graphicFrame macro="">
          <xdr:nvGraphicFramePr>
            <xdr:cNvPr id="9" name="Gender 6">
              <a:extLst>
                <a:ext uri="{FF2B5EF4-FFF2-40B4-BE49-F238E27FC236}">
                  <a16:creationId xmlns:a16="http://schemas.microsoft.com/office/drawing/2014/main" id="{FAA33797-5777-FC2C-301D-C9F46BA99C67}"/>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12184380" y="300990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468630</xdr:colOff>
      <xdr:row>9</xdr:row>
      <xdr:rowOff>87630</xdr:rowOff>
    </xdr:from>
    <xdr:to>
      <xdr:col>17</xdr:col>
      <xdr:colOff>693420</xdr:colOff>
      <xdr:row>32</xdr:row>
      <xdr:rowOff>0</xdr:rowOff>
    </xdr:to>
    <xdr:graphicFrame macro="">
      <xdr:nvGraphicFramePr>
        <xdr:cNvPr id="2" name="Chart 1">
          <a:extLst>
            <a:ext uri="{FF2B5EF4-FFF2-40B4-BE49-F238E27FC236}">
              <a16:creationId xmlns:a16="http://schemas.microsoft.com/office/drawing/2014/main" id="{1F5B37DD-692C-91DF-2E42-44D84EB95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0378440" cy="3903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1589315</xdr:colOff>
      <xdr:row>19</xdr:row>
      <xdr:rowOff>43542</xdr:rowOff>
    </xdr:from>
    <xdr:to>
      <xdr:col>22</xdr:col>
      <xdr:colOff>54429</xdr:colOff>
      <xdr:row>38</xdr:row>
      <xdr:rowOff>163284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4C2C17B-850A-57A0-28A5-4A3B99A7BE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526295" y="3807822"/>
              <a:ext cx="10001794" cy="38840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1184910</xdr:colOff>
      <xdr:row>12</xdr:row>
      <xdr:rowOff>194310</xdr:rowOff>
    </xdr:from>
    <xdr:to>
      <xdr:col>15</xdr:col>
      <xdr:colOff>3810</xdr:colOff>
      <xdr:row>26</xdr:row>
      <xdr:rowOff>163830</xdr:rowOff>
    </xdr:to>
    <xdr:graphicFrame macro="">
      <xdr:nvGraphicFramePr>
        <xdr:cNvPr id="5" name="Chart 4">
          <a:extLst>
            <a:ext uri="{FF2B5EF4-FFF2-40B4-BE49-F238E27FC236}">
              <a16:creationId xmlns:a16="http://schemas.microsoft.com/office/drawing/2014/main" id="{F73AFB56-0A90-3407-0484-2C45AA812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195580</xdr:rowOff>
    </xdr:from>
    <xdr:to>
      <xdr:col>3</xdr:col>
      <xdr:colOff>495300</xdr:colOff>
      <xdr:row>24</xdr:row>
      <xdr:rowOff>99060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289560</xdr:colOff>
      <xdr:row>9</xdr:row>
      <xdr:rowOff>140970</xdr:rowOff>
    </xdr:from>
    <xdr:to>
      <xdr:col>9</xdr:col>
      <xdr:colOff>708660</xdr:colOff>
      <xdr:row>24</xdr:row>
      <xdr:rowOff>167640</xdr:rowOff>
    </xdr:to>
    <xdr:graphicFrame macro="">
      <xdr:nvGraphicFramePr>
        <xdr:cNvPr id="2" name="Chart 1">
          <a:extLst>
            <a:ext uri="{FF2B5EF4-FFF2-40B4-BE49-F238E27FC236}">
              <a16:creationId xmlns:a16="http://schemas.microsoft.com/office/drawing/2014/main" id="{8D822ECB-7BE3-667A-72D5-1D3B2E77A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140970</xdr:colOff>
      <xdr:row>7</xdr:row>
      <xdr:rowOff>149860</xdr:rowOff>
    </xdr:from>
    <xdr:to>
      <xdr:col>4</xdr:col>
      <xdr:colOff>270510</xdr:colOff>
      <xdr:row>21</xdr:row>
      <xdr:rowOff>53340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0970" y="1536700"/>
              <a:ext cx="4747260" cy="2677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378460</xdr:colOff>
      <xdr:row>6</xdr:row>
      <xdr:rowOff>129540</xdr:rowOff>
    </xdr:from>
    <xdr:to>
      <xdr:col>5</xdr:col>
      <xdr:colOff>335280</xdr:colOff>
      <xdr:row>14</xdr:row>
      <xdr:rowOff>15240</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020820" y="1318260"/>
              <a:ext cx="178562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217170</xdr:colOff>
      <xdr:row>8</xdr:row>
      <xdr:rowOff>133350</xdr:rowOff>
    </xdr:from>
    <xdr:to>
      <xdr:col>12</xdr:col>
      <xdr:colOff>579120</xdr:colOff>
      <xdr:row>24</xdr:row>
      <xdr:rowOff>30480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FC3F9B5-44D1-D6FC-1369-567837EE53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48650" y="1718310"/>
              <a:ext cx="5093970" cy="3067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487680</xdr:colOff>
      <xdr:row>16</xdr:row>
      <xdr:rowOff>137161</xdr:rowOff>
    </xdr:from>
    <xdr:to>
      <xdr:col>14</xdr:col>
      <xdr:colOff>586740</xdr:colOff>
      <xdr:row>25</xdr:row>
      <xdr:rowOff>7620</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599ADD60-20EF-F89A-296C-D4460B9EBFC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251180" y="3307081"/>
              <a:ext cx="1805940" cy="1653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685800</xdr:colOff>
      <xdr:row>6</xdr:row>
      <xdr:rowOff>137160</xdr:rowOff>
    </xdr:from>
    <xdr:to>
      <xdr:col>8</xdr:col>
      <xdr:colOff>807720</xdr:colOff>
      <xdr:row>20</xdr:row>
      <xdr:rowOff>59055</xdr:rowOff>
    </xdr:to>
    <mc:AlternateContent xmlns:mc="http://schemas.openxmlformats.org/markup-compatibility/2006" xmlns:a14="http://schemas.microsoft.com/office/drawing/2010/main">
      <mc:Choice Requires="a14">
        <xdr:graphicFrame macro="">
          <xdr:nvGraphicFramePr>
            <xdr:cNvPr id="8" name="Education Field 6">
              <a:extLst>
                <a:ext uri="{FF2B5EF4-FFF2-40B4-BE49-F238E27FC236}">
                  <a16:creationId xmlns:a16="http://schemas.microsoft.com/office/drawing/2014/main" id="{62F6547C-1C74-7FB4-8174-A45755FBE570}"/>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7010400" y="13258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472440</xdr:colOff>
      <xdr:row>8</xdr:row>
      <xdr:rowOff>182881</xdr:rowOff>
    </xdr:from>
    <xdr:to>
      <xdr:col>14</xdr:col>
      <xdr:colOff>624840</xdr:colOff>
      <xdr:row>16</xdr:row>
      <xdr:rowOff>68581</xdr:rowOff>
    </xdr:to>
    <mc:AlternateContent xmlns:mc="http://schemas.openxmlformats.org/markup-compatibility/2006" xmlns:a14="http://schemas.microsoft.com/office/drawing/2010/main">
      <mc:Choice Requires="a14">
        <xdr:graphicFrame macro="">
          <xdr:nvGraphicFramePr>
            <xdr:cNvPr id="9" name="Marital Status 1">
              <a:extLst>
                <a:ext uri="{FF2B5EF4-FFF2-40B4-BE49-F238E27FC236}">
                  <a16:creationId xmlns:a16="http://schemas.microsoft.com/office/drawing/2014/main" id="{446185E6-5991-C2C9-3E68-A28E49D8A113}"/>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3235940" y="1767841"/>
              <a:ext cx="185928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706340" cy="81722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5527812"/>
            <a:ext cx="3608419"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137660" y="1612900"/>
          <a:ext cx="337566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198120</xdr:colOff>
      <xdr:row>2</xdr:row>
      <xdr:rowOff>111760</xdr:rowOff>
    </xdr:from>
    <xdr:to>
      <xdr:col>20</xdr:col>
      <xdr:colOff>629920</xdr:colOff>
      <xdr:row>4</xdr:row>
      <xdr:rowOff>22860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7266920" y="51816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782320</xdr:colOff>
      <xdr:row>14</xdr:row>
      <xdr:rowOff>48260</xdr:rowOff>
    </xdr:from>
    <xdr:to>
      <xdr:col>6</xdr:col>
      <xdr:colOff>414020</xdr:colOff>
      <xdr:row>17</xdr:row>
      <xdr:rowOff>193040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82320" y="2893060"/>
              <a:ext cx="4752340" cy="754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345440</xdr:colOff>
      <xdr:row>12</xdr:row>
      <xdr:rowOff>20320</xdr:rowOff>
    </xdr:from>
    <xdr:to>
      <xdr:col>0</xdr:col>
      <xdr:colOff>711200</xdr:colOff>
      <xdr:row>22</xdr:row>
      <xdr:rowOff>152400</xdr:rowOff>
    </xdr:to>
    <xdr:sp macro="" textlink="">
      <xdr:nvSpPr>
        <xdr:cNvPr id="2" name="TextBox 1">
          <a:extLst>
            <a:ext uri="{FF2B5EF4-FFF2-40B4-BE49-F238E27FC236}">
              <a16:creationId xmlns:a16="http://schemas.microsoft.com/office/drawing/2014/main" id="{B4AD863E-5647-8B88-B143-528B23751C24}"/>
            </a:ext>
          </a:extLst>
        </xdr:cNvPr>
        <xdr:cNvSpPr txBox="1"/>
      </xdr:nvSpPr>
      <xdr:spPr>
        <a:xfrm flipH="1">
          <a:off x="345440" y="2458720"/>
          <a:ext cx="365760" cy="2164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528915</xdr:colOff>
      <xdr:row>1</xdr:row>
      <xdr:rowOff>80682</xdr:rowOff>
    </xdr:from>
    <xdr:to>
      <xdr:col>24</xdr:col>
      <xdr:colOff>233079</xdr:colOff>
      <xdr:row>43</xdr:row>
      <xdr:rowOff>98612</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1865757" y="281208"/>
          <a:ext cx="14409427" cy="8440036"/>
          <a:chOff x="1752600" y="190500"/>
          <a:chExt cx="13509482" cy="8413839"/>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509482" cy="8413839"/>
          </a:xfrm>
          <a:prstGeom prst="roundRect">
            <a:avLst>
              <a:gd name="adj" fmla="val 1112"/>
            </a:avLst>
          </a:prstGeom>
          <a:solidFill>
            <a:schemeClr val="accent5"/>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b="1" cap="none" spc="0">
                <a:ln w="22225">
                  <a:solidFill>
                    <a:schemeClr val="accent2"/>
                  </a:solidFill>
                  <a:prstDash val="solid"/>
                </a:ln>
                <a:solidFill>
                  <a:schemeClr val="accent2">
                    <a:lumMod val="40000"/>
                    <a:lumOff val="60000"/>
                  </a:schemeClr>
                </a:solidFill>
                <a:effectLst/>
              </a:rPr>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708792" cy="1309792"/>
          </a:xfrm>
          <a:prstGeom prst="roundRect">
            <a:avLst>
              <a:gd name="adj" fmla="val 10000"/>
            </a:avLst>
          </a:prstGeom>
          <a:solidFill>
            <a:schemeClr val="tx2">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3800" b="1" cap="none" spc="0">
                <a:ln w="22225">
                  <a:solidFill>
                    <a:schemeClr val="accent2"/>
                  </a:solidFill>
                  <a:prstDash val="solid"/>
                </a:ln>
                <a:solidFill>
                  <a:schemeClr val="accent2">
                    <a:lumMod val="40000"/>
                    <a:lumOff val="60000"/>
                  </a:schemeClr>
                </a:solidFill>
                <a:effectLst/>
                <a:latin typeface="Lato Black" panose="020F0A02020204030203" pitchFamily="34" charset="0"/>
              </a:rPr>
              <a:t>              ANALYTICS DASHBORARD </a:t>
            </a: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725186" y="316331"/>
            <a:ext cx="5467351" cy="1128067"/>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lvl="0" algn="l"/>
            <a:r>
              <a:rPr lang="en-IN" sz="3600" b="1" cap="none" spc="0">
                <a:ln w="22225">
                  <a:solidFill>
                    <a:schemeClr val="accent2"/>
                  </a:solidFill>
                  <a:prstDash val="solid"/>
                </a:ln>
                <a:solidFill>
                  <a:schemeClr val="accent2">
                    <a:lumMod val="40000"/>
                    <a:lumOff val="60000"/>
                  </a:schemeClr>
                </a:solidFill>
                <a:effectLst/>
                <a:latin typeface="Algerian" panose="04020705040A02060702" pitchFamily="82" charset="0"/>
              </a:rPr>
              <a:t>JOB SATISFACTION</a:t>
            </a:r>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25433" y="2886413"/>
            <a:ext cx="4819651" cy="2772878"/>
          </a:xfrm>
          <a:prstGeom prst="roundRect">
            <a:avLst>
              <a:gd name="adj" fmla="val 3303"/>
            </a:avLst>
          </a:prstGeom>
          <a:solidFill>
            <a:srgbClr val="FFC00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900016" y="1716985"/>
            <a:ext cx="13348132" cy="1106354"/>
            <a:chOff x="1900480" y="1716985"/>
            <a:chExt cx="13462940" cy="1106354"/>
          </a:xfrm>
        </xdr:grpSpPr>
        <xdr:sp macro="" textlink="KPI!A7">
          <xdr:nvSpPr>
            <xdr:cNvPr id="22" name="Rectangle: Rounded Corners 21">
              <a:extLst>
                <a:ext uri="{FF2B5EF4-FFF2-40B4-BE49-F238E27FC236}">
                  <a16:creationId xmlns:a16="http://schemas.microsoft.com/office/drawing/2014/main" id="{CD528A7B-9617-AB4E-86E2-8291270F7848}"/>
                </a:ext>
              </a:extLst>
            </xdr:cNvPr>
            <xdr:cNvSpPr/>
          </xdr:nvSpPr>
          <xdr:spPr>
            <a:xfrm>
              <a:off x="1900480" y="1716985"/>
              <a:ext cx="2602058" cy="1106354"/>
            </a:xfrm>
            <a:prstGeom prst="roundRect">
              <a:avLst>
                <a:gd name="adj" fmla="val 36067"/>
              </a:avLst>
            </a:prstGeom>
            <a:solidFill>
              <a:schemeClr val="accent1">
                <a:lumMod val="5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t>TOTAL EMPLOYEE</a:t>
              </a:r>
            </a:p>
            <a:p>
              <a:pPr algn="ctr"/>
              <a:fld id="{61928C99-221A-4CDA-ADEC-A06871FEA31A}" type="TxLink">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lgn="ctr"/>
                <a:t>1470</a:t>
              </a:fld>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sp macro="" textlink="KPI!$B$7">
          <xdr:nvSpPr>
            <xdr:cNvPr id="23" name="Rectangle: Rounded Corners 22">
              <a:extLst>
                <a:ext uri="{FF2B5EF4-FFF2-40B4-BE49-F238E27FC236}">
                  <a16:creationId xmlns:a16="http://schemas.microsoft.com/office/drawing/2014/main" id="{F46C9C91-71AF-66F3-57CF-5997716BE98C}"/>
                </a:ext>
              </a:extLst>
            </xdr:cNvPr>
            <xdr:cNvSpPr/>
          </xdr:nvSpPr>
          <xdr:spPr>
            <a:xfrm>
              <a:off x="4611418" y="1735157"/>
              <a:ext cx="2602058" cy="1088182"/>
            </a:xfrm>
            <a:prstGeom prst="roundRect">
              <a:avLst>
                <a:gd name="adj" fmla="val 29699"/>
              </a:avLst>
            </a:prstGeom>
            <a:solidFill>
              <a:schemeClr val="accent1">
                <a:lumMod val="5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t>ATTRITION</a:t>
              </a:r>
            </a:p>
            <a:p>
              <a:pPr algn="ctr"/>
              <a:fld id="{A5C357CB-E3EA-4BB8-B1AD-8A002DBEE8F1}" type="TxLink">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lgn="ctr"/>
                <a:t>237</a:t>
              </a:fld>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sp macro="" textlink="KPI!$D$7">
          <xdr:nvSpPr>
            <xdr:cNvPr id="24" name="Rectangle: Rounded Corners 23">
              <a:extLst>
                <a:ext uri="{FF2B5EF4-FFF2-40B4-BE49-F238E27FC236}">
                  <a16:creationId xmlns:a16="http://schemas.microsoft.com/office/drawing/2014/main" id="{9CD901E5-4B60-DBB1-951C-CA52709C2D83}"/>
                </a:ext>
              </a:extLst>
            </xdr:cNvPr>
            <xdr:cNvSpPr/>
          </xdr:nvSpPr>
          <xdr:spPr>
            <a:xfrm>
              <a:off x="7397565" y="1744243"/>
              <a:ext cx="2582033" cy="1070008"/>
            </a:xfrm>
            <a:prstGeom prst="roundRect">
              <a:avLst>
                <a:gd name="adj" fmla="val 23358"/>
              </a:avLst>
            </a:prstGeom>
            <a:solidFill>
              <a:schemeClr val="accent1">
                <a:lumMod val="5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t>ACTIVE EMPLOYEE</a:t>
              </a:r>
            </a:p>
            <a:p>
              <a:pPr algn="ctr"/>
              <a:fld id="{FB95FBA8-8D10-48F0-B359-AA6E0CBBCE19}" type="TxLink">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lgn="ctr"/>
                <a:t>1233</a:t>
              </a:fld>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sp macro="" textlink="KPI!$E$7">
          <xdr:nvSpPr>
            <xdr:cNvPr id="25" name="Rectangle: Rounded Corners 24">
              <a:extLst>
                <a:ext uri="{FF2B5EF4-FFF2-40B4-BE49-F238E27FC236}">
                  <a16:creationId xmlns:a16="http://schemas.microsoft.com/office/drawing/2014/main" id="{2E265ADD-3966-3146-5C65-9A23C2032E8D}"/>
                </a:ext>
              </a:extLst>
            </xdr:cNvPr>
            <xdr:cNvSpPr/>
          </xdr:nvSpPr>
          <xdr:spPr>
            <a:xfrm>
              <a:off x="10085759" y="1742715"/>
              <a:ext cx="2602058" cy="998848"/>
            </a:xfrm>
            <a:prstGeom prst="roundRect">
              <a:avLst>
                <a:gd name="adj" fmla="val 24241"/>
              </a:avLst>
            </a:prstGeom>
            <a:solidFill>
              <a:schemeClr val="accent1">
                <a:lumMod val="5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t>ATTRITION RATE</a:t>
              </a:r>
            </a:p>
            <a:p>
              <a:pPr algn="ctr"/>
              <a:fld id="{53D7A636-BA5C-4BF1-8DA8-D4010F30BC52}" type="TxLink">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lgn="ctr"/>
                <a:t>16.12%</a:t>
              </a:fld>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sp macro="" textlink="KPI!$C$7">
          <xdr:nvSpPr>
            <xdr:cNvPr id="26" name="Rectangle: Rounded Corners 25">
              <a:extLst>
                <a:ext uri="{FF2B5EF4-FFF2-40B4-BE49-F238E27FC236}">
                  <a16:creationId xmlns:a16="http://schemas.microsoft.com/office/drawing/2014/main" id="{A17D5170-8B19-40D5-3E23-C62BA2A71475}"/>
                </a:ext>
              </a:extLst>
            </xdr:cNvPr>
            <xdr:cNvSpPr/>
          </xdr:nvSpPr>
          <xdr:spPr>
            <a:xfrm>
              <a:off x="12761362" y="1742714"/>
              <a:ext cx="2602058" cy="998848"/>
            </a:xfrm>
            <a:prstGeom prst="roundRect">
              <a:avLst>
                <a:gd name="adj" fmla="val 25151"/>
              </a:avLst>
            </a:prstGeom>
            <a:solidFill>
              <a:schemeClr val="accent1">
                <a:lumMod val="5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t>AVERAGE AGE</a:t>
              </a:r>
            </a:p>
            <a:p>
              <a:pPr algn="ctr"/>
              <a:fld id="{6AD4AECF-FDC0-4212-922A-F6B4E0186F5E}" type="TxLink">
                <a:rPr lang="en-US" sz="2000" b="0" i="0" u="none" strike="noStrike" cap="none" spc="0">
                  <a:ln w="13462">
                    <a:solidFill>
                      <a:schemeClr val="bg1"/>
                    </a:solidFill>
                    <a:prstDash val="solid"/>
                  </a:ln>
                  <a:solidFill>
                    <a:srgbClr val="000000"/>
                  </a:solidFill>
                  <a:effectLst>
                    <a:outerShdw dist="38100" dir="2700000" algn="bl" rotWithShape="0">
                      <a:schemeClr val="accent5"/>
                    </a:outerShdw>
                  </a:effectLst>
                  <a:latin typeface="Calibri"/>
                  <a:ea typeface="Calibri"/>
                  <a:cs typeface="Calibri"/>
                </a:rPr>
                <a:pPr algn="ctr"/>
                <a:t>36.9</a:t>
              </a:fld>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92152" y="5527750"/>
            <a:ext cx="3867930" cy="3034859"/>
            <a:chOff x="1892152" y="2678637"/>
            <a:chExt cx="3867930" cy="310583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92152" y="3011597"/>
              <a:ext cx="3867930" cy="2772878"/>
            </a:xfrm>
            <a:prstGeom prst="roundRect">
              <a:avLst>
                <a:gd name="adj" fmla="val 3303"/>
              </a:avLst>
            </a:prstGeom>
            <a:solidFill>
              <a:schemeClr val="accent2">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69263" y="2850069"/>
            <a:ext cx="4381501" cy="2772878"/>
          </a:xfrm>
          <a:prstGeom prst="roundRect">
            <a:avLst>
              <a:gd name="adj" fmla="val 3303"/>
            </a:avLst>
          </a:prstGeom>
          <a:solidFill>
            <a:schemeClr val="tx1">
              <a:lumMod val="75000"/>
              <a:lumOff val="25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56039" y="2959696"/>
            <a:ext cx="3867930" cy="2754668"/>
          </a:xfrm>
          <a:prstGeom prst="roundRect">
            <a:avLst>
              <a:gd name="adj" fmla="val 3303"/>
            </a:avLst>
          </a:prstGeom>
          <a:solidFill>
            <a:schemeClr val="bg1">
              <a:lumMod val="65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62906" y="5834930"/>
            <a:ext cx="3564000" cy="2709509"/>
          </a:xfrm>
          <a:prstGeom prst="roundRect">
            <a:avLst>
              <a:gd name="adj" fmla="val 3303"/>
            </a:avLst>
          </a:prstGeom>
          <a:solidFill>
            <a:schemeClr val="accent3">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511613" y="5825844"/>
            <a:ext cx="2844000" cy="2700000"/>
          </a:xfrm>
          <a:prstGeom prst="roundRect">
            <a:avLst>
              <a:gd name="adj" fmla="val 3303"/>
            </a:avLst>
          </a:prstGeom>
          <a:solidFill>
            <a:srgbClr val="00B05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50888" y="580767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cap="none" spc="0">
              <a:ln w="22225">
                <a:solidFill>
                  <a:schemeClr val="accent2"/>
                </a:solidFill>
                <a:prstDash val="solid"/>
              </a:ln>
              <a:solidFill>
                <a:schemeClr val="accent2">
                  <a:lumMod val="40000"/>
                  <a:lumOff val="60000"/>
                </a:schemeClr>
              </a:solidFill>
              <a:effectLst/>
            </a:endParaRPr>
          </a:p>
        </xdr:txBody>
      </xdr:sp>
    </xdr:grpSp>
    <xdr:clientData/>
  </xdr:twoCellAnchor>
  <xdr:twoCellAnchor editAs="oneCell">
    <xdr:from>
      <xdr:col>3</xdr:col>
      <xdr:colOff>143121</xdr:colOff>
      <xdr:row>2</xdr:row>
      <xdr:rowOff>120316</xdr:rowOff>
    </xdr:from>
    <xdr:to>
      <xdr:col>5</xdr:col>
      <xdr:colOff>176621</xdr:colOff>
      <xdr:row>7</xdr:row>
      <xdr:rowOff>165140</xdr:rowOff>
    </xdr:to>
    <xdr:pic>
      <xdr:nvPicPr>
        <xdr:cNvPr id="27" name="Picture 26">
          <a:extLst>
            <a:ext uri="{FF2B5EF4-FFF2-40B4-BE49-F238E27FC236}">
              <a16:creationId xmlns:a16="http://schemas.microsoft.com/office/drawing/2014/main" id="{79D4B47F-FD4A-419E-B161-7EB4E1BE69CF}"/>
            </a:ext>
          </a:extLst>
        </xdr:cNvPr>
        <xdr:cNvPicPr>
          <a:picLocks noChangeAspect="1"/>
        </xdr:cNvPicPr>
      </xdr:nvPicPr>
      <xdr:blipFill>
        <a:blip xmlns:r="http://schemas.openxmlformats.org/officeDocument/2006/relationships" r:embed="rId1"/>
        <a:stretch>
          <a:fillRect/>
        </a:stretch>
      </xdr:blipFill>
      <xdr:spPr>
        <a:xfrm>
          <a:off x="2148384" y="521369"/>
          <a:ext cx="1370342" cy="1047455"/>
        </a:xfrm>
        <a:prstGeom prst="rect">
          <a:avLst/>
        </a:prstGeom>
      </xdr:spPr>
    </xdr:pic>
    <xdr:clientData/>
  </xdr:twoCellAnchor>
  <xdr:twoCellAnchor>
    <xdr:from>
      <xdr:col>21</xdr:col>
      <xdr:colOff>591670</xdr:colOff>
      <xdr:row>3</xdr:row>
      <xdr:rowOff>-1</xdr:rowOff>
    </xdr:from>
    <xdr:to>
      <xdr:col>23</xdr:col>
      <xdr:colOff>555812</xdr:colOff>
      <xdr:row>7</xdr:row>
      <xdr:rowOff>71717</xdr:rowOff>
    </xdr:to>
    <xdr:graphicFrame macro="">
      <xdr:nvGraphicFramePr>
        <xdr:cNvPr id="31" name="Chart 30">
          <a:extLst>
            <a:ext uri="{FF2B5EF4-FFF2-40B4-BE49-F238E27FC236}">
              <a16:creationId xmlns:a16="http://schemas.microsoft.com/office/drawing/2014/main" id="{307982A9-9CB5-44BD-9964-2342111D6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0</xdr:colOff>
      <xdr:row>3</xdr:row>
      <xdr:rowOff>115644</xdr:rowOff>
    </xdr:from>
    <xdr:to>
      <xdr:col>22</xdr:col>
      <xdr:colOff>286421</xdr:colOff>
      <xdr:row>3</xdr:row>
      <xdr:rowOff>161363</xdr:rowOff>
    </xdr:to>
    <xdr:pic>
      <xdr:nvPicPr>
        <xdr:cNvPr id="33" name="Picture 32">
          <a:extLst>
            <a:ext uri="{FF2B5EF4-FFF2-40B4-BE49-F238E27FC236}">
              <a16:creationId xmlns:a16="http://schemas.microsoft.com/office/drawing/2014/main" id="{23A7D927-B186-38D4-9751-5D1280EF79B2}"/>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3893" t="75715" b="-1"/>
        <a:stretch>
          <a:fillRect/>
        </a:stretch>
      </xdr:blipFill>
      <xdr:spPr bwMode="auto">
        <a:xfrm>
          <a:off x="14791765" y="707315"/>
          <a:ext cx="286421" cy="45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654422</xdr:colOff>
      <xdr:row>4</xdr:row>
      <xdr:rowOff>152400</xdr:rowOff>
    </xdr:from>
    <xdr:to>
      <xdr:col>23</xdr:col>
      <xdr:colOff>18596</xdr:colOff>
      <xdr:row>5</xdr:row>
      <xdr:rowOff>97717</xdr:rowOff>
    </xdr:to>
    <xdr:pic>
      <xdr:nvPicPr>
        <xdr:cNvPr id="34" name="Picture 33">
          <a:extLst>
            <a:ext uri="{FF2B5EF4-FFF2-40B4-BE49-F238E27FC236}">
              <a16:creationId xmlns:a16="http://schemas.microsoft.com/office/drawing/2014/main" id="{0A85C4C9-E677-71AB-E9F2-1F83C2EAA416}"/>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4391" t="-10528" b="26841"/>
        <a:stretch>
          <a:fillRect/>
        </a:stretch>
      </xdr:blipFill>
      <xdr:spPr bwMode="auto">
        <a:xfrm>
          <a:off x="14773834" y="941294"/>
          <a:ext cx="708880" cy="142541"/>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134470</xdr:colOff>
      <xdr:row>15</xdr:row>
      <xdr:rowOff>170330</xdr:rowOff>
    </xdr:from>
    <xdr:to>
      <xdr:col>8</xdr:col>
      <xdr:colOff>582705</xdr:colOff>
      <xdr:row>18</xdr:row>
      <xdr:rowOff>53789</xdr:rowOff>
    </xdr:to>
    <xdr:sp macro="" textlink="">
      <xdr:nvSpPr>
        <xdr:cNvPr id="36" name="TextBox 35">
          <a:extLst>
            <a:ext uri="{FF2B5EF4-FFF2-40B4-BE49-F238E27FC236}">
              <a16:creationId xmlns:a16="http://schemas.microsoft.com/office/drawing/2014/main" id="{6425F23C-CFD8-4792-D0F7-9B486DD4D24E}"/>
            </a:ext>
          </a:extLst>
        </xdr:cNvPr>
        <xdr:cNvSpPr txBox="1"/>
      </xdr:nvSpPr>
      <xdr:spPr>
        <a:xfrm>
          <a:off x="2151529" y="3128683"/>
          <a:ext cx="3810000" cy="47513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TOTAL EMPLOYEE BY GENDER </a:t>
          </a:r>
        </a:p>
      </xdr:txBody>
    </xdr:sp>
    <xdr:clientData/>
  </xdr:twoCellAnchor>
  <xdr:twoCellAnchor editAs="oneCell">
    <xdr:from>
      <xdr:col>3</xdr:col>
      <xdr:colOff>35858</xdr:colOff>
      <xdr:row>18</xdr:row>
      <xdr:rowOff>17930</xdr:rowOff>
    </xdr:from>
    <xdr:to>
      <xdr:col>9</xdr:col>
      <xdr:colOff>35859</xdr:colOff>
      <xdr:row>21</xdr:row>
      <xdr:rowOff>180640</xdr:rowOff>
    </xdr:to>
    <mc:AlternateContent xmlns:mc="http://schemas.openxmlformats.org/markup-compatibility/2006" xmlns:a14="http://schemas.microsoft.com/office/drawing/2010/main">
      <mc:Choice Requires="a14">
        <xdr:graphicFrame macro="">
          <xdr:nvGraphicFramePr>
            <xdr:cNvPr id="11" name="Gender 8">
              <a:extLst>
                <a:ext uri="{FF2B5EF4-FFF2-40B4-BE49-F238E27FC236}">
                  <a16:creationId xmlns:a16="http://schemas.microsoft.com/office/drawing/2014/main" id="{688A7C04-D1D7-4529-8077-B92D6E76F694}"/>
                </a:ext>
              </a:extLst>
            </xdr:cNvPr>
            <xdr:cNvGraphicFramePr/>
          </xdr:nvGraphicFramePr>
          <xdr:xfrm>
            <a:off x="0" y="0"/>
            <a:ext cx="0" cy="0"/>
          </xdr:xfrm>
          <a:graphic>
            <a:graphicData uri="http://schemas.microsoft.com/office/drawing/2010/slicer">
              <sle:slicer xmlns:sle="http://schemas.microsoft.com/office/drawing/2010/slicer" name="Gender 8"/>
            </a:graphicData>
          </a:graphic>
        </xdr:graphicFrame>
      </mc:Choice>
      <mc:Fallback xmlns="">
        <xdr:sp macro="" textlink="">
          <xdr:nvSpPr>
            <xdr:cNvPr id="0" name=""/>
            <xdr:cNvSpPr>
              <a:spLocks noTextEdit="1"/>
            </xdr:cNvSpPr>
          </xdr:nvSpPr>
          <xdr:spPr>
            <a:xfrm>
              <a:off x="2041121" y="3627404"/>
              <a:ext cx="4010527" cy="76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89647</xdr:colOff>
      <xdr:row>21</xdr:row>
      <xdr:rowOff>116541</xdr:rowOff>
    </xdr:from>
    <xdr:to>
      <xdr:col>6</xdr:col>
      <xdr:colOff>179294</xdr:colOff>
      <xdr:row>28</xdr:row>
      <xdr:rowOff>179294</xdr:rowOff>
    </xdr:to>
    <xdr:graphicFrame macro="">
      <xdr:nvGraphicFramePr>
        <xdr:cNvPr id="15" name="Chart 14">
          <a:extLst>
            <a:ext uri="{FF2B5EF4-FFF2-40B4-BE49-F238E27FC236}">
              <a16:creationId xmlns:a16="http://schemas.microsoft.com/office/drawing/2014/main" id="{84FC4DD5-AA5D-4192-A765-2AA72C4EB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457198</xdr:colOff>
      <xdr:row>21</xdr:row>
      <xdr:rowOff>98612</xdr:rowOff>
    </xdr:from>
    <xdr:to>
      <xdr:col>9</xdr:col>
      <xdr:colOff>17930</xdr:colOff>
      <xdr:row>29</xdr:row>
      <xdr:rowOff>53789</xdr:rowOff>
    </xdr:to>
    <xdr:graphicFrame macro="">
      <xdr:nvGraphicFramePr>
        <xdr:cNvPr id="17" name="Chart 16">
          <a:extLst>
            <a:ext uri="{FF2B5EF4-FFF2-40B4-BE49-F238E27FC236}">
              <a16:creationId xmlns:a16="http://schemas.microsoft.com/office/drawing/2014/main" id="{6A6328EF-20E0-4DEA-9003-9549B40F5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367553</xdr:colOff>
      <xdr:row>15</xdr:row>
      <xdr:rowOff>89647</xdr:rowOff>
    </xdr:from>
    <xdr:to>
      <xdr:col>16</xdr:col>
      <xdr:colOff>627529</xdr:colOff>
      <xdr:row>18</xdr:row>
      <xdr:rowOff>35858</xdr:rowOff>
    </xdr:to>
    <xdr:sp macro="" textlink="">
      <xdr:nvSpPr>
        <xdr:cNvPr id="19" name="TextBox 18">
          <a:extLst>
            <a:ext uri="{FF2B5EF4-FFF2-40B4-BE49-F238E27FC236}">
              <a16:creationId xmlns:a16="http://schemas.microsoft.com/office/drawing/2014/main" id="{CE0A8A86-E1F2-1C90-78F3-12B80E5A54C9}"/>
            </a:ext>
          </a:extLst>
        </xdr:cNvPr>
        <xdr:cNvSpPr txBox="1"/>
      </xdr:nvSpPr>
      <xdr:spPr>
        <a:xfrm>
          <a:off x="6418729" y="3048000"/>
          <a:ext cx="4966447" cy="53788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attrition by education</a:t>
          </a:r>
        </a:p>
      </xdr:txBody>
    </xdr:sp>
    <xdr:clientData/>
  </xdr:twoCellAnchor>
  <xdr:twoCellAnchor>
    <xdr:from>
      <xdr:col>9</xdr:col>
      <xdr:colOff>259977</xdr:colOff>
      <xdr:row>18</xdr:row>
      <xdr:rowOff>53788</xdr:rowOff>
    </xdr:from>
    <xdr:to>
      <xdr:col>16</xdr:col>
      <xdr:colOff>430306</xdr:colOff>
      <xdr:row>29</xdr:row>
      <xdr:rowOff>98612</xdr:rowOff>
    </xdr:to>
    <xdr:graphicFrame macro="">
      <xdr:nvGraphicFramePr>
        <xdr:cNvPr id="29" name="Chart 28">
          <a:extLst>
            <a:ext uri="{FF2B5EF4-FFF2-40B4-BE49-F238E27FC236}">
              <a16:creationId xmlns:a16="http://schemas.microsoft.com/office/drawing/2014/main" id="{BCD81157-02A4-4586-B6CA-56785EB7B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251012</xdr:colOff>
      <xdr:row>15</xdr:row>
      <xdr:rowOff>71718</xdr:rowOff>
    </xdr:from>
    <xdr:to>
      <xdr:col>23</xdr:col>
      <xdr:colOff>663388</xdr:colOff>
      <xdr:row>18</xdr:row>
      <xdr:rowOff>152400</xdr:rowOff>
    </xdr:to>
    <xdr:sp macro="" textlink="">
      <xdr:nvSpPr>
        <xdr:cNvPr id="30" name="TextBox 29">
          <a:extLst>
            <a:ext uri="{FF2B5EF4-FFF2-40B4-BE49-F238E27FC236}">
              <a16:creationId xmlns:a16="http://schemas.microsoft.com/office/drawing/2014/main" id="{449EB603-DC44-4DFB-1F8E-694EE8D3B6CA}"/>
            </a:ext>
          </a:extLst>
        </xdr:cNvPr>
        <xdr:cNvSpPr txBox="1"/>
      </xdr:nvSpPr>
      <xdr:spPr>
        <a:xfrm>
          <a:off x="11681012" y="3030071"/>
          <a:ext cx="4446494" cy="67235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attrition by job role </a:t>
          </a:r>
        </a:p>
      </xdr:txBody>
    </xdr:sp>
    <xdr:clientData/>
  </xdr:twoCellAnchor>
  <xdr:twoCellAnchor>
    <xdr:from>
      <xdr:col>17</xdr:col>
      <xdr:colOff>242047</xdr:colOff>
      <xdr:row>18</xdr:row>
      <xdr:rowOff>170329</xdr:rowOff>
    </xdr:from>
    <xdr:to>
      <xdr:col>24</xdr:col>
      <xdr:colOff>26894</xdr:colOff>
      <xdr:row>28</xdr:row>
      <xdr:rowOff>53788</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13A86D76-BAC9-47AA-A488-1F25A34BE6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641567" y="3736489"/>
              <a:ext cx="4478767" cy="18646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484093</xdr:colOff>
      <xdr:row>26</xdr:row>
      <xdr:rowOff>107577</xdr:rowOff>
    </xdr:from>
    <xdr:to>
      <xdr:col>6</xdr:col>
      <xdr:colOff>145576</xdr:colOff>
      <xdr:row>28</xdr:row>
      <xdr:rowOff>36717</xdr:rowOff>
    </xdr:to>
    <xdr:pic>
      <xdr:nvPicPr>
        <xdr:cNvPr id="35" name="Picture 34">
          <a:extLst>
            <a:ext uri="{FF2B5EF4-FFF2-40B4-BE49-F238E27FC236}">
              <a16:creationId xmlns:a16="http://schemas.microsoft.com/office/drawing/2014/main" id="{EC6D6464-E1EA-4F6A-B354-75876CB956B2}"/>
            </a:ext>
          </a:extLst>
        </xdr:cNvPr>
        <xdr:cNvPicPr>
          <a:picLocks noChangeAspect="1"/>
        </xdr:cNvPicPr>
      </xdr:nvPicPr>
      <xdr:blipFill>
        <a:blip xmlns:r="http://schemas.openxmlformats.org/officeDocument/2006/relationships" r:embed="rId8"/>
        <a:stretch>
          <a:fillRect/>
        </a:stretch>
      </xdr:blipFill>
      <xdr:spPr>
        <a:xfrm>
          <a:off x="3845858" y="5235389"/>
          <a:ext cx="333836" cy="323587"/>
        </a:xfrm>
        <a:prstGeom prst="rect">
          <a:avLst/>
        </a:prstGeom>
      </xdr:spPr>
    </xdr:pic>
    <xdr:clientData/>
  </xdr:twoCellAnchor>
  <xdr:twoCellAnchor editAs="oneCell">
    <xdr:from>
      <xdr:col>23</xdr:col>
      <xdr:colOff>233082</xdr:colOff>
      <xdr:row>16</xdr:row>
      <xdr:rowOff>80683</xdr:rowOff>
    </xdr:from>
    <xdr:to>
      <xdr:col>23</xdr:col>
      <xdr:colOff>581307</xdr:colOff>
      <xdr:row>17</xdr:row>
      <xdr:rowOff>196861</xdr:rowOff>
    </xdr:to>
    <xdr:pic>
      <xdr:nvPicPr>
        <xdr:cNvPr id="38" name="Picture 37">
          <a:extLst>
            <a:ext uri="{FF2B5EF4-FFF2-40B4-BE49-F238E27FC236}">
              <a16:creationId xmlns:a16="http://schemas.microsoft.com/office/drawing/2014/main" id="{12D6778A-3E17-477B-8D33-5D480909391D}"/>
            </a:ext>
          </a:extLst>
        </xdr:cNvPr>
        <xdr:cNvPicPr>
          <a:picLocks noChangeAspect="1"/>
        </xdr:cNvPicPr>
      </xdr:nvPicPr>
      <xdr:blipFill>
        <a:blip xmlns:r="http://schemas.openxmlformats.org/officeDocument/2006/relationships" r:embed="rId9"/>
        <a:stretch>
          <a:fillRect/>
        </a:stretch>
      </xdr:blipFill>
      <xdr:spPr>
        <a:xfrm>
          <a:off x="15697200" y="3236259"/>
          <a:ext cx="348225" cy="313402"/>
        </a:xfrm>
        <a:prstGeom prst="rect">
          <a:avLst/>
        </a:prstGeom>
      </xdr:spPr>
    </xdr:pic>
    <xdr:clientData/>
  </xdr:twoCellAnchor>
  <xdr:twoCellAnchor>
    <xdr:from>
      <xdr:col>3</xdr:col>
      <xdr:colOff>143436</xdr:colOff>
      <xdr:row>30</xdr:row>
      <xdr:rowOff>53789</xdr:rowOff>
    </xdr:from>
    <xdr:to>
      <xdr:col>9</xdr:col>
      <xdr:colOff>26895</xdr:colOff>
      <xdr:row>33</xdr:row>
      <xdr:rowOff>116542</xdr:rowOff>
    </xdr:to>
    <xdr:sp macro="" textlink="">
      <xdr:nvSpPr>
        <xdr:cNvPr id="39" name="TextBox 38">
          <a:extLst>
            <a:ext uri="{FF2B5EF4-FFF2-40B4-BE49-F238E27FC236}">
              <a16:creationId xmlns:a16="http://schemas.microsoft.com/office/drawing/2014/main" id="{5FF1AA62-94D5-5967-C1B4-C1B56F230674}"/>
            </a:ext>
          </a:extLst>
        </xdr:cNvPr>
        <xdr:cNvSpPr txBox="1"/>
      </xdr:nvSpPr>
      <xdr:spPr>
        <a:xfrm>
          <a:off x="2160495" y="5970495"/>
          <a:ext cx="3917576" cy="65442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attrition by </a:t>
          </a:r>
          <a:r>
            <a:rPr lang="en-US" sz="2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department</a:t>
          </a:r>
        </a:p>
      </xdr:txBody>
    </xdr:sp>
    <xdr:clientData/>
  </xdr:twoCellAnchor>
  <xdr:twoCellAnchor>
    <xdr:from>
      <xdr:col>2</xdr:col>
      <xdr:colOff>555812</xdr:colOff>
      <xdr:row>33</xdr:row>
      <xdr:rowOff>53789</xdr:rowOff>
    </xdr:from>
    <xdr:to>
      <xdr:col>8</xdr:col>
      <xdr:colOff>582705</xdr:colOff>
      <xdr:row>44</xdr:row>
      <xdr:rowOff>80682</xdr:rowOff>
    </xdr:to>
    <xdr:graphicFrame macro="">
      <xdr:nvGraphicFramePr>
        <xdr:cNvPr id="40" name="Chart 39">
          <a:extLst>
            <a:ext uri="{FF2B5EF4-FFF2-40B4-BE49-F238E27FC236}">
              <a16:creationId xmlns:a16="http://schemas.microsoft.com/office/drawing/2014/main" id="{A64E178B-C327-423D-9CF1-D2073A4BF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502021</xdr:colOff>
      <xdr:row>34</xdr:row>
      <xdr:rowOff>53788</xdr:rowOff>
    </xdr:from>
    <xdr:to>
      <xdr:col>8</xdr:col>
      <xdr:colOff>537880</xdr:colOff>
      <xdr:row>37</xdr:row>
      <xdr:rowOff>170329</xdr:rowOff>
    </xdr:to>
    <xdr:pic>
      <xdr:nvPicPr>
        <xdr:cNvPr id="41" name="Picture 40">
          <a:extLst>
            <a:ext uri="{FF2B5EF4-FFF2-40B4-BE49-F238E27FC236}">
              <a16:creationId xmlns:a16="http://schemas.microsoft.com/office/drawing/2014/main" id="{5B205A07-F8C7-42AE-B899-CE4978905558}"/>
            </a:ext>
          </a:extLst>
        </xdr:cNvPr>
        <xdr:cNvPicPr>
          <a:picLocks noChangeAspect="1"/>
        </xdr:cNvPicPr>
      </xdr:nvPicPr>
      <xdr:blipFill>
        <a:blip xmlns:r="http://schemas.openxmlformats.org/officeDocument/2006/relationships" r:embed="rId11"/>
        <a:stretch>
          <a:fillRect/>
        </a:stretch>
      </xdr:blipFill>
      <xdr:spPr>
        <a:xfrm>
          <a:off x="5208492" y="6759388"/>
          <a:ext cx="708212" cy="708212"/>
        </a:xfrm>
        <a:prstGeom prst="rect">
          <a:avLst/>
        </a:prstGeom>
      </xdr:spPr>
    </xdr:pic>
    <xdr:clientData/>
  </xdr:twoCellAnchor>
  <xdr:twoCellAnchor>
    <xdr:from>
      <xdr:col>9</xdr:col>
      <xdr:colOff>367553</xdr:colOff>
      <xdr:row>30</xdr:row>
      <xdr:rowOff>53788</xdr:rowOff>
    </xdr:from>
    <xdr:to>
      <xdr:col>14</xdr:col>
      <xdr:colOff>645459</xdr:colOff>
      <xdr:row>33</xdr:row>
      <xdr:rowOff>80683</xdr:rowOff>
    </xdr:to>
    <xdr:sp macro="" textlink="">
      <xdr:nvSpPr>
        <xdr:cNvPr id="42" name="TextBox 41">
          <a:extLst>
            <a:ext uri="{FF2B5EF4-FFF2-40B4-BE49-F238E27FC236}">
              <a16:creationId xmlns:a16="http://schemas.microsoft.com/office/drawing/2014/main" id="{F354D3A7-1C5D-05F1-D775-6B2A2C81E9ED}"/>
            </a:ext>
          </a:extLst>
        </xdr:cNvPr>
        <xdr:cNvSpPr txBox="1"/>
      </xdr:nvSpPr>
      <xdr:spPr>
        <a:xfrm>
          <a:off x="6418729" y="5970494"/>
          <a:ext cx="3639671" cy="61856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attrition by age group </a:t>
          </a:r>
        </a:p>
      </xdr:txBody>
    </xdr:sp>
    <xdr:clientData/>
  </xdr:twoCellAnchor>
  <xdr:twoCellAnchor>
    <xdr:from>
      <xdr:col>9</xdr:col>
      <xdr:colOff>331695</xdr:colOff>
      <xdr:row>33</xdr:row>
      <xdr:rowOff>71718</xdr:rowOff>
    </xdr:from>
    <xdr:to>
      <xdr:col>14</xdr:col>
      <xdr:colOff>636494</xdr:colOff>
      <xdr:row>42</xdr:row>
      <xdr:rowOff>120276</xdr:rowOff>
    </xdr:to>
    <xdr:graphicFrame macro="">
      <xdr:nvGraphicFramePr>
        <xdr:cNvPr id="44" name="Chart 43">
          <a:extLst>
            <a:ext uri="{FF2B5EF4-FFF2-40B4-BE49-F238E27FC236}">
              <a16:creationId xmlns:a16="http://schemas.microsoft.com/office/drawing/2014/main" id="{3457CC4D-CEA4-4D7F-9CE7-F167B91B1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233082</xdr:colOff>
      <xdr:row>30</xdr:row>
      <xdr:rowOff>62753</xdr:rowOff>
    </xdr:from>
    <xdr:to>
      <xdr:col>19</xdr:col>
      <xdr:colOff>439270</xdr:colOff>
      <xdr:row>33</xdr:row>
      <xdr:rowOff>179294</xdr:rowOff>
    </xdr:to>
    <xdr:sp macro="" textlink="">
      <xdr:nvSpPr>
        <xdr:cNvPr id="45" name="TextBox 44">
          <a:extLst>
            <a:ext uri="{FF2B5EF4-FFF2-40B4-BE49-F238E27FC236}">
              <a16:creationId xmlns:a16="http://schemas.microsoft.com/office/drawing/2014/main" id="{540159E0-6F40-C12F-8B62-06D0454875EE}"/>
            </a:ext>
          </a:extLst>
        </xdr:cNvPr>
        <xdr:cNvSpPr txBox="1"/>
      </xdr:nvSpPr>
      <xdr:spPr>
        <a:xfrm>
          <a:off x="10318376" y="5979459"/>
          <a:ext cx="2895600" cy="70821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Algerian" panose="04020705040A02060702" pitchFamily="82" charset="0"/>
            </a:rPr>
            <a:t>attrition by marital - status</a:t>
          </a:r>
        </a:p>
      </xdr:txBody>
    </xdr:sp>
    <xdr:clientData/>
  </xdr:twoCellAnchor>
  <xdr:twoCellAnchor>
    <xdr:from>
      <xdr:col>15</xdr:col>
      <xdr:colOff>233082</xdr:colOff>
      <xdr:row>33</xdr:row>
      <xdr:rowOff>170330</xdr:rowOff>
    </xdr:from>
    <xdr:to>
      <xdr:col>19</xdr:col>
      <xdr:colOff>457200</xdr:colOff>
      <xdr:row>42</xdr:row>
      <xdr:rowOff>143436</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7A893701-9CAD-423C-B947-870AAF67FC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291482" y="6708290"/>
              <a:ext cx="2906358" cy="17561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672351</xdr:colOff>
      <xdr:row>30</xdr:row>
      <xdr:rowOff>98612</xdr:rowOff>
    </xdr:from>
    <xdr:to>
      <xdr:col>24</xdr:col>
      <xdr:colOff>98611</xdr:colOff>
      <xdr:row>36</xdr:row>
      <xdr:rowOff>70971</xdr:rowOff>
    </xdr:to>
    <mc:AlternateContent xmlns:mc="http://schemas.openxmlformats.org/markup-compatibility/2006" xmlns:a14="http://schemas.microsoft.com/office/drawing/2010/main">
      <mc:Choice Requires="a14">
        <xdr:graphicFrame macro="">
          <xdr:nvGraphicFramePr>
            <xdr:cNvPr id="47" name="Education Field 7">
              <a:extLst>
                <a:ext uri="{FF2B5EF4-FFF2-40B4-BE49-F238E27FC236}">
                  <a16:creationId xmlns:a16="http://schemas.microsoft.com/office/drawing/2014/main" id="{AA180553-8432-4BF5-AA5A-EC5873F94EC1}"/>
                </a:ext>
              </a:extLst>
            </xdr:cNvPr>
            <xdr:cNvGraphicFramePr/>
          </xdr:nvGraphicFramePr>
          <xdr:xfrm>
            <a:off x="0" y="0"/>
            <a:ext cx="0" cy="0"/>
          </xdr:xfrm>
          <a:graphic>
            <a:graphicData uri="http://schemas.microsoft.com/office/drawing/2010/slicer">
              <sle:slicer xmlns:sle="http://schemas.microsoft.com/office/drawing/2010/slicer" name="Education Field 7"/>
            </a:graphicData>
          </a:graphic>
        </xdr:graphicFrame>
      </mc:Choice>
      <mc:Fallback xmlns="">
        <xdr:sp macro="" textlink="">
          <xdr:nvSpPr>
            <xdr:cNvPr id="0" name=""/>
            <xdr:cNvSpPr>
              <a:spLocks noTextEdit="1"/>
            </xdr:cNvSpPr>
          </xdr:nvSpPr>
          <xdr:spPr>
            <a:xfrm>
              <a:off x="13372351" y="6114401"/>
              <a:ext cx="2768365" cy="1175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17929</xdr:colOff>
      <xdr:row>36</xdr:row>
      <xdr:rowOff>116541</xdr:rowOff>
    </xdr:from>
    <xdr:to>
      <xdr:col>24</xdr:col>
      <xdr:colOff>107576</xdr:colOff>
      <xdr:row>42</xdr:row>
      <xdr:rowOff>152400</xdr:rowOff>
    </xdr:to>
    <mc:AlternateContent xmlns:mc="http://schemas.openxmlformats.org/markup-compatibility/2006" xmlns:a14="http://schemas.microsoft.com/office/drawing/2010/main">
      <mc:Choice Requires="a14">
        <xdr:graphicFrame macro="">
          <xdr:nvGraphicFramePr>
            <xdr:cNvPr id="48" name="Department 3">
              <a:extLst>
                <a:ext uri="{FF2B5EF4-FFF2-40B4-BE49-F238E27FC236}">
                  <a16:creationId xmlns:a16="http://schemas.microsoft.com/office/drawing/2014/main" id="{5FEFC82E-1378-48BD-8A1F-8290D000609A}"/>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3386350" y="7335488"/>
              <a:ext cx="2763331" cy="1239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ea typeface="Calibri"/>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0.22128</cdr:x>
      <cdr:y>0.54861</cdr:y>
    </cdr:from>
    <cdr:to>
      <cdr:x>0.68912</cdr:x>
      <cdr:y>0.75155</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466165" y="791818"/>
          <a:ext cx="985608" cy="2929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5.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ea typeface="Calibri"/>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x v="0"/>
    <x v="0"/>
    <x v="0"/>
    <x v="0"/>
    <s v="Yes"/>
    <s v="Y"/>
    <n v="0"/>
    <n v="-2"/>
    <n v="0"/>
    <x v="0"/>
    <x v="0"/>
    <n v="1"/>
    <n v="1"/>
    <n v="0"/>
    <n v="1102"/>
    <n v="1"/>
    <x v="0"/>
    <x v="0"/>
    <n v="2"/>
    <n v="94"/>
    <n v="3"/>
    <n v="2"/>
    <x v="0"/>
    <n v="5993"/>
    <n v="19479"/>
    <n v="8"/>
    <n v="11"/>
    <n v="3"/>
    <n v="1"/>
    <n v="80"/>
    <n v="0"/>
    <n v="8"/>
    <n v="1"/>
    <n v="6"/>
    <n v="4"/>
    <n v="0"/>
    <n v="5"/>
  </r>
  <r>
    <s v="No"/>
    <s v="Travel_Frequently"/>
    <x v="1"/>
    <s v="Current Employees"/>
    <x v="1"/>
    <x v="0"/>
    <x v="1"/>
    <x v="1"/>
    <x v="1"/>
    <x v="1"/>
    <x v="1"/>
    <s v="No"/>
    <s v="Y"/>
    <n v="3"/>
    <n v="-2"/>
    <n v="0"/>
    <x v="1"/>
    <x v="1"/>
    <m/>
    <n v="0"/>
    <n v="1"/>
    <n v="279"/>
    <n v="8"/>
    <x v="1"/>
    <x v="0"/>
    <n v="3"/>
    <n v="61"/>
    <n v="2"/>
    <n v="2"/>
    <x v="1"/>
    <n v="5130"/>
    <n v="24907"/>
    <n v="1"/>
    <n v="23"/>
    <n v="4"/>
    <n v="4"/>
    <n v="80"/>
    <n v="1"/>
    <n v="10"/>
    <n v="3"/>
    <n v="10"/>
    <n v="7"/>
    <n v="1"/>
    <n v="7"/>
  </r>
  <r>
    <s v="Yes"/>
    <s v="Travel_Rarely"/>
    <x v="0"/>
    <s v="Ex-Employees"/>
    <x v="1"/>
    <x v="1"/>
    <x v="2"/>
    <x v="2"/>
    <x v="1"/>
    <x v="2"/>
    <x v="0"/>
    <s v="Yes"/>
    <s v="Y"/>
    <n v="3"/>
    <n v="-2"/>
    <n v="0"/>
    <x v="2"/>
    <x v="0"/>
    <n v="1"/>
    <n v="1"/>
    <n v="0"/>
    <n v="1373"/>
    <n v="2"/>
    <x v="0"/>
    <x v="0"/>
    <n v="4"/>
    <n v="92"/>
    <n v="2"/>
    <n v="1"/>
    <x v="2"/>
    <n v="2090"/>
    <n v="2396"/>
    <n v="6"/>
    <n v="15"/>
    <n v="3"/>
    <n v="2"/>
    <n v="80"/>
    <n v="0"/>
    <n v="7"/>
    <n v="3"/>
    <n v="0"/>
    <n v="0"/>
    <n v="0"/>
    <n v="0"/>
  </r>
  <r>
    <s v="No"/>
    <s v="Travel_Frequently"/>
    <x v="2"/>
    <s v="Current Employees"/>
    <x v="1"/>
    <x v="0"/>
    <x v="3"/>
    <x v="3"/>
    <x v="0"/>
    <x v="1"/>
    <x v="1"/>
    <s v="Yes"/>
    <s v="Y"/>
    <n v="3"/>
    <n v="-2"/>
    <n v="0"/>
    <x v="3"/>
    <x v="1"/>
    <m/>
    <n v="0"/>
    <n v="1"/>
    <n v="1392"/>
    <n v="3"/>
    <x v="2"/>
    <x v="0"/>
    <n v="4"/>
    <n v="56"/>
    <n v="3"/>
    <n v="1"/>
    <x v="2"/>
    <n v="2909"/>
    <n v="23159"/>
    <n v="1"/>
    <n v="11"/>
    <n v="3"/>
    <n v="3"/>
    <n v="80"/>
    <n v="0"/>
    <n v="8"/>
    <n v="3"/>
    <n v="8"/>
    <n v="7"/>
    <n v="3"/>
    <n v="0"/>
  </r>
  <r>
    <s v="No"/>
    <s v="Travel_Rarely"/>
    <x v="2"/>
    <s v="Current Employees"/>
    <x v="1"/>
    <x v="2"/>
    <x v="4"/>
    <x v="4"/>
    <x v="1"/>
    <x v="2"/>
    <x v="1"/>
    <s v="No"/>
    <s v="Y"/>
    <n v="3"/>
    <n v="-2"/>
    <n v="0"/>
    <x v="4"/>
    <x v="1"/>
    <m/>
    <n v="0"/>
    <n v="1"/>
    <n v="591"/>
    <n v="2"/>
    <x v="1"/>
    <x v="0"/>
    <n v="1"/>
    <n v="40"/>
    <n v="3"/>
    <n v="1"/>
    <x v="1"/>
    <n v="3468"/>
    <n v="16632"/>
    <n v="9"/>
    <n v="12"/>
    <n v="3"/>
    <n v="4"/>
    <n v="80"/>
    <n v="1"/>
    <n v="6"/>
    <n v="3"/>
    <n v="2"/>
    <n v="2"/>
    <n v="2"/>
    <n v="2"/>
  </r>
  <r>
    <s v="No"/>
    <s v="Travel_Frequently"/>
    <x v="2"/>
    <s v="Current Employees"/>
    <x v="1"/>
    <x v="0"/>
    <x v="5"/>
    <x v="5"/>
    <x v="1"/>
    <x v="2"/>
    <x v="0"/>
    <s v="No"/>
    <s v="Y"/>
    <n v="2"/>
    <n v="-2"/>
    <n v="0"/>
    <x v="5"/>
    <x v="1"/>
    <m/>
    <n v="0"/>
    <n v="1"/>
    <n v="1005"/>
    <n v="2"/>
    <x v="0"/>
    <x v="0"/>
    <n v="4"/>
    <n v="79"/>
    <n v="3"/>
    <n v="1"/>
    <x v="1"/>
    <n v="3068"/>
    <n v="11864"/>
    <n v="0"/>
    <n v="13"/>
    <n v="3"/>
    <n v="3"/>
    <n v="80"/>
    <n v="0"/>
    <n v="8"/>
    <n v="2"/>
    <n v="7"/>
    <n v="7"/>
    <n v="3"/>
    <n v="6"/>
  </r>
  <r>
    <s v="No"/>
    <s v="Travel_Rarely"/>
    <x v="3"/>
    <s v="Current Employees"/>
    <x v="1"/>
    <x v="2"/>
    <x v="6"/>
    <x v="6"/>
    <x v="0"/>
    <x v="2"/>
    <x v="1"/>
    <s v="Yes"/>
    <s v="Y"/>
    <n v="3"/>
    <n v="-2"/>
    <n v="0"/>
    <x v="6"/>
    <x v="1"/>
    <m/>
    <n v="0"/>
    <n v="1"/>
    <n v="1324"/>
    <n v="3"/>
    <x v="3"/>
    <x v="0"/>
    <n v="3"/>
    <n v="81"/>
    <n v="4"/>
    <n v="1"/>
    <x v="0"/>
    <n v="2670"/>
    <n v="9964"/>
    <n v="4"/>
    <n v="20"/>
    <n v="4"/>
    <n v="1"/>
    <n v="80"/>
    <n v="3"/>
    <n v="12"/>
    <n v="2"/>
    <n v="1"/>
    <n v="0"/>
    <n v="0"/>
    <n v="0"/>
  </r>
  <r>
    <s v="No"/>
    <s v="Travel_Rarely"/>
    <x v="2"/>
    <s v="Current Employees"/>
    <x v="1"/>
    <x v="0"/>
    <x v="7"/>
    <x v="7"/>
    <x v="1"/>
    <x v="2"/>
    <x v="2"/>
    <s v="No"/>
    <s v="Y"/>
    <n v="2"/>
    <n v="-2"/>
    <n v="0"/>
    <x v="7"/>
    <x v="1"/>
    <m/>
    <n v="0"/>
    <n v="1"/>
    <n v="1358"/>
    <n v="24"/>
    <x v="1"/>
    <x v="0"/>
    <n v="4"/>
    <n v="67"/>
    <n v="3"/>
    <n v="1"/>
    <x v="1"/>
    <n v="2693"/>
    <n v="13335"/>
    <n v="1"/>
    <n v="22"/>
    <n v="4"/>
    <n v="2"/>
    <n v="80"/>
    <n v="1"/>
    <n v="1"/>
    <n v="3"/>
    <n v="1"/>
    <n v="0"/>
    <n v="0"/>
    <n v="0"/>
  </r>
  <r>
    <s v="No"/>
    <s v="Travel_Frequently"/>
    <x v="0"/>
    <s v="Current Employees"/>
    <x v="1"/>
    <x v="0"/>
    <x v="8"/>
    <x v="8"/>
    <x v="1"/>
    <x v="3"/>
    <x v="0"/>
    <s v="No"/>
    <s v="Y"/>
    <n v="2"/>
    <n v="-2"/>
    <n v="0"/>
    <x v="8"/>
    <x v="1"/>
    <m/>
    <n v="0"/>
    <n v="1"/>
    <n v="216"/>
    <n v="23"/>
    <x v="3"/>
    <x v="0"/>
    <n v="4"/>
    <n v="44"/>
    <n v="2"/>
    <n v="3"/>
    <x v="1"/>
    <n v="9526"/>
    <n v="8787"/>
    <n v="0"/>
    <n v="21"/>
    <n v="4"/>
    <n v="2"/>
    <n v="80"/>
    <n v="0"/>
    <n v="10"/>
    <n v="3"/>
    <n v="9"/>
    <n v="7"/>
    <n v="1"/>
    <n v="8"/>
  </r>
  <r>
    <s v="No"/>
    <s v="Travel_Rarely"/>
    <x v="0"/>
    <s v="Current Employees"/>
    <x v="1"/>
    <x v="2"/>
    <x v="9"/>
    <x v="9"/>
    <x v="1"/>
    <x v="4"/>
    <x v="1"/>
    <s v="No"/>
    <s v="Y"/>
    <n v="3"/>
    <n v="-2"/>
    <n v="0"/>
    <x v="9"/>
    <x v="1"/>
    <m/>
    <n v="0"/>
    <n v="1"/>
    <n v="1299"/>
    <n v="27"/>
    <x v="3"/>
    <x v="0"/>
    <n v="3"/>
    <n v="94"/>
    <n v="3"/>
    <n v="2"/>
    <x v="2"/>
    <n v="5237"/>
    <n v="16577"/>
    <n v="6"/>
    <n v="13"/>
    <n v="3"/>
    <n v="2"/>
    <n v="80"/>
    <n v="2"/>
    <n v="17"/>
    <n v="2"/>
    <n v="7"/>
    <n v="7"/>
    <n v="7"/>
    <n v="7"/>
  </r>
  <r>
    <s v="No"/>
    <s v="Travel_Rarely"/>
    <x v="0"/>
    <s v="Current Employees"/>
    <x v="1"/>
    <x v="2"/>
    <x v="10"/>
    <x v="10"/>
    <x v="1"/>
    <x v="2"/>
    <x v="1"/>
    <s v="No"/>
    <s v="Y"/>
    <n v="5"/>
    <n v="-2"/>
    <n v="0"/>
    <x v="10"/>
    <x v="1"/>
    <m/>
    <n v="0"/>
    <n v="1"/>
    <n v="809"/>
    <n v="16"/>
    <x v="3"/>
    <x v="0"/>
    <n v="1"/>
    <n v="84"/>
    <n v="4"/>
    <n v="1"/>
    <x v="1"/>
    <n v="2426"/>
    <n v="16479"/>
    <n v="0"/>
    <n v="13"/>
    <n v="3"/>
    <n v="3"/>
    <n v="80"/>
    <n v="1"/>
    <n v="6"/>
    <n v="3"/>
    <n v="5"/>
    <n v="4"/>
    <n v="0"/>
    <n v="3"/>
  </r>
  <r>
    <s v="No"/>
    <s v="Travel_Rarely"/>
    <x v="2"/>
    <s v="Current Employees"/>
    <x v="1"/>
    <x v="0"/>
    <x v="11"/>
    <x v="11"/>
    <x v="0"/>
    <x v="2"/>
    <x v="0"/>
    <s v="Yes"/>
    <s v="Y"/>
    <n v="3"/>
    <n v="-2"/>
    <n v="0"/>
    <x v="11"/>
    <x v="1"/>
    <m/>
    <n v="0"/>
    <n v="1"/>
    <n v="153"/>
    <n v="15"/>
    <x v="0"/>
    <x v="0"/>
    <n v="4"/>
    <n v="49"/>
    <n v="2"/>
    <n v="2"/>
    <x v="1"/>
    <n v="4193"/>
    <n v="12682"/>
    <n v="0"/>
    <n v="12"/>
    <n v="3"/>
    <n v="4"/>
    <n v="80"/>
    <n v="0"/>
    <n v="10"/>
    <n v="3"/>
    <n v="9"/>
    <n v="5"/>
    <n v="0"/>
    <n v="8"/>
  </r>
  <r>
    <s v="No"/>
    <s v="Travel_Rarely"/>
    <x v="2"/>
    <s v="Current Employees"/>
    <x v="1"/>
    <x v="0"/>
    <x v="12"/>
    <x v="12"/>
    <x v="1"/>
    <x v="1"/>
    <x v="2"/>
    <s v="No"/>
    <s v="Y"/>
    <n v="1"/>
    <n v="-2"/>
    <n v="0"/>
    <x v="12"/>
    <x v="1"/>
    <m/>
    <n v="0"/>
    <n v="1"/>
    <n v="670"/>
    <n v="26"/>
    <x v="1"/>
    <x v="0"/>
    <n v="1"/>
    <n v="31"/>
    <n v="3"/>
    <n v="1"/>
    <x v="1"/>
    <n v="2911"/>
    <n v="15170"/>
    <n v="1"/>
    <n v="17"/>
    <n v="3"/>
    <n v="4"/>
    <n v="80"/>
    <n v="1"/>
    <n v="5"/>
    <n v="2"/>
    <n v="5"/>
    <n v="2"/>
    <n v="4"/>
    <n v="3"/>
  </r>
  <r>
    <s v="No"/>
    <s v="Travel_Rarely"/>
    <x v="2"/>
    <s v="Current Employees"/>
    <x v="1"/>
    <x v="2"/>
    <x v="13"/>
    <x v="13"/>
    <x v="1"/>
    <x v="2"/>
    <x v="2"/>
    <s v="No"/>
    <s v="Y"/>
    <n v="2"/>
    <n v="-2"/>
    <n v="0"/>
    <x v="13"/>
    <x v="1"/>
    <m/>
    <n v="0"/>
    <n v="1"/>
    <n v="1346"/>
    <n v="19"/>
    <x v="0"/>
    <x v="0"/>
    <n v="2"/>
    <n v="93"/>
    <n v="3"/>
    <n v="1"/>
    <x v="0"/>
    <n v="2661"/>
    <n v="8758"/>
    <n v="0"/>
    <n v="11"/>
    <n v="3"/>
    <n v="3"/>
    <n v="80"/>
    <n v="1"/>
    <n v="3"/>
    <n v="3"/>
    <n v="2"/>
    <n v="2"/>
    <n v="1"/>
    <n v="2"/>
  </r>
  <r>
    <s v="Yes"/>
    <s v="Travel_Rarely"/>
    <x v="2"/>
    <s v="Ex-Employees"/>
    <x v="1"/>
    <x v="0"/>
    <x v="14"/>
    <x v="14"/>
    <x v="1"/>
    <x v="2"/>
    <x v="0"/>
    <s v="Yes"/>
    <s v="Y"/>
    <n v="4"/>
    <n v="-2"/>
    <n v="0"/>
    <x v="14"/>
    <x v="0"/>
    <n v="1"/>
    <n v="1"/>
    <n v="0"/>
    <n v="103"/>
    <n v="24"/>
    <x v="3"/>
    <x v="0"/>
    <n v="3"/>
    <n v="50"/>
    <n v="2"/>
    <n v="1"/>
    <x v="1"/>
    <n v="2028"/>
    <n v="12947"/>
    <n v="5"/>
    <n v="14"/>
    <n v="3"/>
    <n v="2"/>
    <n v="80"/>
    <n v="0"/>
    <n v="6"/>
    <n v="3"/>
    <n v="4"/>
    <n v="2"/>
    <n v="0"/>
    <n v="3"/>
  </r>
  <r>
    <s v="No"/>
    <s v="Travel_Rarely"/>
    <x v="2"/>
    <s v="Current Employees"/>
    <x v="1"/>
    <x v="0"/>
    <x v="15"/>
    <x v="15"/>
    <x v="0"/>
    <x v="3"/>
    <x v="2"/>
    <s v="No"/>
    <s v="Y"/>
    <n v="1"/>
    <n v="-2"/>
    <n v="0"/>
    <x v="11"/>
    <x v="1"/>
    <m/>
    <n v="0"/>
    <n v="1"/>
    <n v="1389"/>
    <n v="21"/>
    <x v="2"/>
    <x v="0"/>
    <n v="2"/>
    <n v="51"/>
    <n v="4"/>
    <n v="3"/>
    <x v="1"/>
    <n v="9980"/>
    <n v="10195"/>
    <n v="1"/>
    <n v="11"/>
    <n v="3"/>
    <n v="3"/>
    <n v="80"/>
    <n v="1"/>
    <n v="10"/>
    <n v="3"/>
    <n v="10"/>
    <n v="9"/>
    <n v="8"/>
    <n v="8"/>
  </r>
  <r>
    <s v="No"/>
    <s v="Travel_Rarely"/>
    <x v="2"/>
    <s v="Current Employees"/>
    <x v="1"/>
    <x v="0"/>
    <x v="16"/>
    <x v="16"/>
    <x v="1"/>
    <x v="1"/>
    <x v="2"/>
    <s v="Yes"/>
    <s v="Y"/>
    <n v="5"/>
    <n v="-2"/>
    <n v="0"/>
    <x v="5"/>
    <x v="1"/>
    <m/>
    <n v="0"/>
    <n v="1"/>
    <n v="334"/>
    <n v="5"/>
    <x v="0"/>
    <x v="0"/>
    <n v="1"/>
    <n v="80"/>
    <n v="4"/>
    <n v="1"/>
    <x v="1"/>
    <n v="3298"/>
    <n v="15053"/>
    <n v="0"/>
    <n v="12"/>
    <n v="3"/>
    <n v="4"/>
    <n v="80"/>
    <n v="2"/>
    <n v="7"/>
    <n v="2"/>
    <n v="6"/>
    <n v="2"/>
    <n v="0"/>
    <n v="5"/>
  </r>
  <r>
    <s v="No"/>
    <s v="Non-Travel"/>
    <x v="4"/>
    <s v="Current Employees"/>
    <x v="1"/>
    <x v="2"/>
    <x v="17"/>
    <x v="17"/>
    <x v="1"/>
    <x v="2"/>
    <x v="2"/>
    <s v="Yes"/>
    <s v="Y"/>
    <n v="2"/>
    <n v="-2"/>
    <n v="0"/>
    <x v="15"/>
    <x v="1"/>
    <m/>
    <n v="0"/>
    <n v="1"/>
    <n v="1123"/>
    <n v="16"/>
    <x v="0"/>
    <x v="0"/>
    <n v="4"/>
    <n v="96"/>
    <n v="4"/>
    <n v="1"/>
    <x v="0"/>
    <n v="2935"/>
    <n v="7324"/>
    <n v="1"/>
    <n v="13"/>
    <n v="3"/>
    <n v="2"/>
    <n v="80"/>
    <n v="2"/>
    <n v="1"/>
    <n v="2"/>
    <n v="1"/>
    <n v="0"/>
    <n v="0"/>
    <n v="0"/>
  </r>
  <r>
    <s v="No"/>
    <s v="Travel_Rarely"/>
    <x v="1"/>
    <s v="Current Employees"/>
    <x v="0"/>
    <x v="0"/>
    <x v="18"/>
    <x v="18"/>
    <x v="0"/>
    <x v="5"/>
    <x v="1"/>
    <s v="No"/>
    <s v="Y"/>
    <n v="3"/>
    <n v="-2"/>
    <n v="0"/>
    <x v="16"/>
    <x v="1"/>
    <m/>
    <n v="0"/>
    <n v="1"/>
    <n v="1219"/>
    <n v="2"/>
    <x v="2"/>
    <x v="0"/>
    <n v="1"/>
    <n v="78"/>
    <n v="2"/>
    <n v="4"/>
    <x v="1"/>
    <n v="15427"/>
    <n v="22021"/>
    <n v="2"/>
    <n v="16"/>
    <n v="3"/>
    <n v="3"/>
    <n v="80"/>
    <n v="0"/>
    <n v="31"/>
    <n v="3"/>
    <n v="25"/>
    <n v="8"/>
    <n v="3"/>
    <n v="7"/>
  </r>
  <r>
    <s v="No"/>
    <s v="Travel_Rarely"/>
    <x v="0"/>
    <s v="Current Employees"/>
    <x v="1"/>
    <x v="0"/>
    <x v="19"/>
    <x v="19"/>
    <x v="1"/>
    <x v="1"/>
    <x v="0"/>
    <s v="Yes"/>
    <s v="Y"/>
    <n v="3"/>
    <n v="-2"/>
    <n v="0"/>
    <x v="8"/>
    <x v="1"/>
    <m/>
    <n v="0"/>
    <n v="1"/>
    <n v="371"/>
    <n v="2"/>
    <x v="3"/>
    <x v="0"/>
    <n v="4"/>
    <n v="45"/>
    <n v="3"/>
    <n v="1"/>
    <x v="1"/>
    <n v="3944"/>
    <n v="4306"/>
    <n v="5"/>
    <n v="11"/>
    <n v="3"/>
    <n v="3"/>
    <n v="80"/>
    <n v="0"/>
    <n v="6"/>
    <n v="3"/>
    <n v="3"/>
    <n v="2"/>
    <n v="1"/>
    <n v="2"/>
  </r>
  <r>
    <s v="No"/>
    <s v="Non-Travel"/>
    <x v="4"/>
    <s v="Current Employees"/>
    <x v="1"/>
    <x v="1"/>
    <x v="20"/>
    <x v="20"/>
    <x v="0"/>
    <x v="3"/>
    <x v="2"/>
    <s v="No"/>
    <s v="Y"/>
    <n v="5"/>
    <n v="-2"/>
    <n v="0"/>
    <x v="17"/>
    <x v="1"/>
    <m/>
    <n v="0"/>
    <n v="1"/>
    <n v="673"/>
    <n v="11"/>
    <x v="0"/>
    <x v="0"/>
    <n v="1"/>
    <n v="96"/>
    <n v="4"/>
    <n v="2"/>
    <x v="2"/>
    <n v="4011"/>
    <n v="8232"/>
    <n v="0"/>
    <n v="18"/>
    <n v="3"/>
    <n v="4"/>
    <n v="80"/>
    <n v="1"/>
    <n v="5"/>
    <n v="2"/>
    <n v="4"/>
    <n v="2"/>
    <n v="1"/>
    <n v="3"/>
  </r>
  <r>
    <s v="Yes"/>
    <s v="Travel_Rarely"/>
    <x v="0"/>
    <s v="Ex-Employees"/>
    <x v="0"/>
    <x v="0"/>
    <x v="21"/>
    <x v="21"/>
    <x v="1"/>
    <x v="6"/>
    <x v="0"/>
    <s v="No"/>
    <s v="Y"/>
    <n v="4"/>
    <n v="-2"/>
    <n v="0"/>
    <x v="9"/>
    <x v="0"/>
    <n v="1"/>
    <n v="1"/>
    <n v="0"/>
    <n v="1218"/>
    <n v="9"/>
    <x v="2"/>
    <x v="0"/>
    <n v="3"/>
    <n v="82"/>
    <n v="2"/>
    <n v="1"/>
    <x v="1"/>
    <n v="3407"/>
    <n v="6986"/>
    <n v="7"/>
    <n v="23"/>
    <n v="4"/>
    <n v="2"/>
    <n v="80"/>
    <n v="0"/>
    <n v="10"/>
    <n v="3"/>
    <n v="5"/>
    <n v="3"/>
    <n v="0"/>
    <n v="3"/>
  </r>
  <r>
    <s v="No"/>
    <s v="Travel_Rarely"/>
    <x v="2"/>
    <s v="Current Employees"/>
    <x v="1"/>
    <x v="0"/>
    <x v="22"/>
    <x v="22"/>
    <x v="0"/>
    <x v="7"/>
    <x v="0"/>
    <s v="No"/>
    <s v="Y"/>
    <n v="4"/>
    <n v="-2"/>
    <n v="0"/>
    <x v="13"/>
    <x v="1"/>
    <m/>
    <n v="0"/>
    <n v="1"/>
    <n v="419"/>
    <n v="7"/>
    <x v="2"/>
    <x v="0"/>
    <n v="1"/>
    <n v="53"/>
    <n v="3"/>
    <n v="3"/>
    <x v="1"/>
    <n v="11994"/>
    <n v="21293"/>
    <n v="0"/>
    <n v="11"/>
    <n v="3"/>
    <n v="3"/>
    <n v="80"/>
    <n v="0"/>
    <n v="13"/>
    <n v="3"/>
    <n v="12"/>
    <n v="6"/>
    <n v="2"/>
    <n v="11"/>
  </r>
  <r>
    <s v="No"/>
    <s v="Travel_Rarely"/>
    <x v="4"/>
    <s v="Current Employees"/>
    <x v="1"/>
    <x v="0"/>
    <x v="23"/>
    <x v="23"/>
    <x v="1"/>
    <x v="1"/>
    <x v="0"/>
    <s v="No"/>
    <s v="Y"/>
    <n v="6"/>
    <n v="-2"/>
    <n v="0"/>
    <x v="18"/>
    <x v="1"/>
    <m/>
    <n v="0"/>
    <n v="1"/>
    <n v="391"/>
    <n v="15"/>
    <x v="0"/>
    <x v="0"/>
    <n v="3"/>
    <n v="96"/>
    <n v="3"/>
    <n v="1"/>
    <x v="1"/>
    <n v="1232"/>
    <n v="19281"/>
    <n v="1"/>
    <n v="14"/>
    <n v="3"/>
    <n v="4"/>
    <n v="80"/>
    <n v="0"/>
    <n v="0"/>
    <n v="3"/>
    <n v="0"/>
    <n v="0"/>
    <n v="0"/>
    <n v="0"/>
  </r>
  <r>
    <s v="Yes"/>
    <s v="Travel_Rarely"/>
    <x v="2"/>
    <s v="Ex-Employees"/>
    <x v="1"/>
    <x v="2"/>
    <x v="24"/>
    <x v="24"/>
    <x v="1"/>
    <x v="1"/>
    <x v="0"/>
    <s v="No"/>
    <s v="Y"/>
    <n v="2"/>
    <n v="-2"/>
    <n v="0"/>
    <x v="13"/>
    <x v="0"/>
    <n v="1"/>
    <n v="1"/>
    <n v="0"/>
    <n v="699"/>
    <n v="6"/>
    <x v="1"/>
    <x v="0"/>
    <n v="2"/>
    <n v="83"/>
    <n v="3"/>
    <n v="1"/>
    <x v="0"/>
    <n v="2960"/>
    <n v="17102"/>
    <n v="2"/>
    <n v="11"/>
    <n v="3"/>
    <n v="3"/>
    <n v="80"/>
    <n v="0"/>
    <n v="8"/>
    <n v="3"/>
    <n v="4"/>
    <n v="2"/>
    <n v="1"/>
    <n v="3"/>
  </r>
  <r>
    <s v="No"/>
    <s v="Travel_Rarely"/>
    <x v="1"/>
    <s v="Current Employees"/>
    <x v="1"/>
    <x v="1"/>
    <x v="25"/>
    <x v="25"/>
    <x v="0"/>
    <x v="5"/>
    <x v="2"/>
    <s v="No"/>
    <s v="Y"/>
    <n v="3"/>
    <n v="-2"/>
    <n v="0"/>
    <x v="16"/>
    <x v="1"/>
    <m/>
    <n v="0"/>
    <n v="1"/>
    <n v="1282"/>
    <n v="5"/>
    <x v="3"/>
    <x v="0"/>
    <n v="3"/>
    <n v="58"/>
    <n v="3"/>
    <n v="5"/>
    <x v="2"/>
    <n v="19094"/>
    <n v="10735"/>
    <n v="4"/>
    <n v="11"/>
    <n v="3"/>
    <n v="4"/>
    <n v="80"/>
    <n v="1"/>
    <n v="26"/>
    <n v="2"/>
    <n v="14"/>
    <n v="13"/>
    <n v="4"/>
    <n v="8"/>
  </r>
  <r>
    <s v="Yes"/>
    <s v="Travel_Frequently"/>
    <x v="2"/>
    <s v="Ex-Employees"/>
    <x v="1"/>
    <x v="0"/>
    <x v="26"/>
    <x v="26"/>
    <x v="0"/>
    <x v="1"/>
    <x v="0"/>
    <s v="Yes"/>
    <s v="Y"/>
    <n v="5"/>
    <n v="-2"/>
    <n v="0"/>
    <x v="5"/>
    <x v="0"/>
    <n v="1"/>
    <n v="1"/>
    <n v="0"/>
    <n v="1125"/>
    <n v="16"/>
    <x v="1"/>
    <x v="0"/>
    <n v="2"/>
    <n v="72"/>
    <n v="1"/>
    <n v="1"/>
    <x v="1"/>
    <n v="3919"/>
    <n v="4681"/>
    <n v="1"/>
    <n v="22"/>
    <n v="4"/>
    <n v="2"/>
    <n v="80"/>
    <n v="0"/>
    <n v="10"/>
    <n v="3"/>
    <n v="10"/>
    <n v="2"/>
    <n v="6"/>
    <n v="7"/>
  </r>
  <r>
    <s v="No"/>
    <s v="Travel_Rarely"/>
    <x v="0"/>
    <s v="Current Employees"/>
    <x v="0"/>
    <x v="3"/>
    <x v="27"/>
    <x v="27"/>
    <x v="1"/>
    <x v="0"/>
    <x v="1"/>
    <s v="No"/>
    <s v="Y"/>
    <n v="2"/>
    <n v="-2"/>
    <n v="0"/>
    <x v="19"/>
    <x v="1"/>
    <m/>
    <n v="0"/>
    <n v="1"/>
    <n v="691"/>
    <n v="8"/>
    <x v="2"/>
    <x v="0"/>
    <n v="3"/>
    <n v="48"/>
    <n v="3"/>
    <n v="2"/>
    <x v="2"/>
    <n v="6825"/>
    <n v="21173"/>
    <n v="0"/>
    <n v="11"/>
    <n v="3"/>
    <n v="4"/>
    <n v="80"/>
    <n v="1"/>
    <n v="10"/>
    <n v="3"/>
    <n v="9"/>
    <n v="7"/>
    <n v="4"/>
    <n v="2"/>
  </r>
  <r>
    <s v="No"/>
    <s v="Travel_Rarely"/>
    <x v="0"/>
    <s v="Current Employees"/>
    <x v="1"/>
    <x v="2"/>
    <x v="28"/>
    <x v="28"/>
    <x v="0"/>
    <x v="4"/>
    <x v="1"/>
    <s v="No"/>
    <s v="Y"/>
    <n v="4"/>
    <n v="-2"/>
    <n v="0"/>
    <x v="20"/>
    <x v="1"/>
    <m/>
    <n v="0"/>
    <n v="1"/>
    <n v="477"/>
    <n v="7"/>
    <x v="2"/>
    <x v="0"/>
    <n v="1"/>
    <n v="42"/>
    <n v="2"/>
    <n v="3"/>
    <x v="0"/>
    <n v="10248"/>
    <n v="2094"/>
    <n v="3"/>
    <n v="14"/>
    <n v="3"/>
    <n v="4"/>
    <n v="80"/>
    <n v="1"/>
    <n v="24"/>
    <n v="3"/>
    <n v="22"/>
    <n v="6"/>
    <n v="5"/>
    <n v="17"/>
  </r>
  <r>
    <s v="No"/>
    <s v="Travel_Rarely"/>
    <x v="1"/>
    <s v="Current Employees"/>
    <x v="0"/>
    <x v="3"/>
    <x v="29"/>
    <x v="29"/>
    <x v="0"/>
    <x v="5"/>
    <x v="0"/>
    <s v="No"/>
    <s v="Y"/>
    <n v="2"/>
    <n v="-2"/>
    <n v="0"/>
    <x v="21"/>
    <x v="1"/>
    <m/>
    <n v="0"/>
    <n v="1"/>
    <n v="705"/>
    <n v="2"/>
    <x v="2"/>
    <x v="0"/>
    <n v="2"/>
    <n v="83"/>
    <n v="3"/>
    <n v="5"/>
    <x v="0"/>
    <n v="18947"/>
    <n v="22822"/>
    <n v="3"/>
    <n v="12"/>
    <n v="3"/>
    <n v="4"/>
    <n v="80"/>
    <n v="0"/>
    <n v="22"/>
    <n v="2"/>
    <n v="2"/>
    <n v="2"/>
    <n v="2"/>
    <n v="1"/>
  </r>
  <r>
    <s v="No"/>
    <s v="Travel_Rarely"/>
    <x v="2"/>
    <s v="Current Employees"/>
    <x v="1"/>
    <x v="2"/>
    <x v="30"/>
    <x v="30"/>
    <x v="1"/>
    <x v="2"/>
    <x v="0"/>
    <s v="No"/>
    <s v="Y"/>
    <n v="3"/>
    <n v="-2"/>
    <n v="0"/>
    <x v="3"/>
    <x v="1"/>
    <m/>
    <n v="0"/>
    <n v="1"/>
    <n v="924"/>
    <n v="2"/>
    <x v="3"/>
    <x v="0"/>
    <n v="3"/>
    <n v="78"/>
    <n v="3"/>
    <n v="1"/>
    <x v="0"/>
    <n v="2496"/>
    <n v="6670"/>
    <n v="4"/>
    <n v="11"/>
    <n v="3"/>
    <n v="4"/>
    <n v="80"/>
    <n v="0"/>
    <n v="7"/>
    <n v="3"/>
    <n v="1"/>
    <n v="1"/>
    <n v="0"/>
    <n v="0"/>
  </r>
  <r>
    <s v="No"/>
    <s v="Travel_Rarely"/>
    <x v="0"/>
    <s v="Current Employees"/>
    <x v="1"/>
    <x v="1"/>
    <x v="31"/>
    <x v="31"/>
    <x v="1"/>
    <x v="4"/>
    <x v="1"/>
    <s v="Yes"/>
    <s v="Y"/>
    <n v="5"/>
    <n v="-2"/>
    <n v="0"/>
    <x v="20"/>
    <x v="1"/>
    <m/>
    <n v="0"/>
    <n v="1"/>
    <n v="1459"/>
    <n v="10"/>
    <x v="2"/>
    <x v="0"/>
    <n v="4"/>
    <n v="41"/>
    <n v="3"/>
    <n v="2"/>
    <x v="0"/>
    <n v="6465"/>
    <n v="19121"/>
    <n v="2"/>
    <n v="13"/>
    <n v="3"/>
    <n v="4"/>
    <n v="80"/>
    <n v="0"/>
    <n v="9"/>
    <n v="4"/>
    <n v="4"/>
    <n v="2"/>
    <n v="1"/>
    <n v="3"/>
  </r>
  <r>
    <s v="No"/>
    <s v="Travel_Rarely"/>
    <x v="2"/>
    <s v="Current Employees"/>
    <x v="1"/>
    <x v="2"/>
    <x v="32"/>
    <x v="32"/>
    <x v="1"/>
    <x v="2"/>
    <x v="0"/>
    <s v="No"/>
    <s v="Y"/>
    <n v="5"/>
    <n v="-2"/>
    <n v="0"/>
    <x v="7"/>
    <x v="1"/>
    <m/>
    <n v="0"/>
    <n v="1"/>
    <n v="125"/>
    <n v="9"/>
    <x v="0"/>
    <x v="0"/>
    <n v="4"/>
    <n v="83"/>
    <n v="2"/>
    <n v="1"/>
    <x v="2"/>
    <n v="2206"/>
    <n v="16117"/>
    <n v="1"/>
    <n v="13"/>
    <n v="3"/>
    <n v="1"/>
    <n v="80"/>
    <n v="0"/>
    <n v="10"/>
    <n v="3"/>
    <n v="10"/>
    <n v="0"/>
    <n v="1"/>
    <n v="8"/>
  </r>
  <r>
    <s v="Yes"/>
    <s v="Travel_Rarely"/>
    <x v="0"/>
    <s v="Ex-Employees"/>
    <x v="0"/>
    <x v="4"/>
    <x v="33"/>
    <x v="33"/>
    <x v="1"/>
    <x v="6"/>
    <x v="1"/>
    <s v="No"/>
    <s v="Y"/>
    <n v="6"/>
    <n v="-2"/>
    <n v="0"/>
    <x v="22"/>
    <x v="0"/>
    <n v="1"/>
    <n v="1"/>
    <n v="0"/>
    <n v="895"/>
    <n v="5"/>
    <x v="3"/>
    <x v="0"/>
    <n v="4"/>
    <n v="56"/>
    <n v="3"/>
    <n v="2"/>
    <x v="0"/>
    <n v="2086"/>
    <n v="3335"/>
    <n v="3"/>
    <n v="14"/>
    <n v="3"/>
    <n v="3"/>
    <n v="80"/>
    <n v="1"/>
    <n v="19"/>
    <n v="4"/>
    <n v="1"/>
    <n v="0"/>
    <n v="0"/>
    <n v="0"/>
  </r>
  <r>
    <s v="Yes"/>
    <s v="Travel_Rarely"/>
    <x v="4"/>
    <s v="Ex-Employees"/>
    <x v="1"/>
    <x v="2"/>
    <x v="34"/>
    <x v="34"/>
    <x v="1"/>
    <x v="1"/>
    <x v="1"/>
    <s v="Yes"/>
    <s v="Y"/>
    <n v="2"/>
    <n v="-2"/>
    <n v="0"/>
    <x v="17"/>
    <x v="0"/>
    <n v="1"/>
    <n v="1"/>
    <n v="0"/>
    <n v="813"/>
    <n v="1"/>
    <x v="3"/>
    <x v="0"/>
    <n v="2"/>
    <n v="61"/>
    <n v="3"/>
    <n v="1"/>
    <x v="0"/>
    <n v="2293"/>
    <n v="3020"/>
    <n v="2"/>
    <n v="16"/>
    <n v="3"/>
    <n v="1"/>
    <n v="80"/>
    <n v="1"/>
    <n v="6"/>
    <n v="2"/>
    <n v="2"/>
    <n v="0"/>
    <n v="2"/>
    <n v="0"/>
  </r>
  <r>
    <s v="No"/>
    <s v="Travel_Rarely"/>
    <x v="0"/>
    <s v="Current Employees"/>
    <x v="1"/>
    <x v="2"/>
    <x v="35"/>
    <x v="35"/>
    <x v="0"/>
    <x v="1"/>
    <x v="2"/>
    <s v="No"/>
    <s v="Y"/>
    <n v="3"/>
    <n v="-2"/>
    <n v="0"/>
    <x v="23"/>
    <x v="1"/>
    <m/>
    <n v="0"/>
    <n v="1"/>
    <n v="1273"/>
    <n v="2"/>
    <x v="0"/>
    <x v="0"/>
    <n v="4"/>
    <n v="72"/>
    <n v="4"/>
    <n v="1"/>
    <x v="2"/>
    <n v="2645"/>
    <n v="21923"/>
    <n v="1"/>
    <n v="12"/>
    <n v="3"/>
    <n v="4"/>
    <n v="80"/>
    <n v="2"/>
    <n v="6"/>
    <n v="2"/>
    <n v="5"/>
    <n v="3"/>
    <n v="1"/>
    <n v="4"/>
  </r>
  <r>
    <s v="Yes"/>
    <s v="Travel_Rarely"/>
    <x v="1"/>
    <s v="Ex-Employees"/>
    <x v="0"/>
    <x v="3"/>
    <x v="36"/>
    <x v="36"/>
    <x v="1"/>
    <x v="6"/>
    <x v="1"/>
    <s v="Yes"/>
    <s v="Y"/>
    <n v="2"/>
    <n v="-2"/>
    <n v="0"/>
    <x v="24"/>
    <x v="0"/>
    <n v="1"/>
    <n v="1"/>
    <n v="0"/>
    <n v="869"/>
    <n v="3"/>
    <x v="0"/>
    <x v="0"/>
    <n v="1"/>
    <n v="86"/>
    <n v="2"/>
    <n v="1"/>
    <x v="2"/>
    <n v="2683"/>
    <n v="3810"/>
    <n v="1"/>
    <n v="14"/>
    <n v="3"/>
    <n v="3"/>
    <n v="80"/>
    <n v="0"/>
    <n v="3"/>
    <n v="3"/>
    <n v="3"/>
    <n v="2"/>
    <n v="0"/>
    <n v="2"/>
  </r>
  <r>
    <s v="No"/>
    <s v="Travel_Rarely"/>
    <x v="0"/>
    <s v="Current Employees"/>
    <x v="0"/>
    <x v="3"/>
    <x v="37"/>
    <x v="37"/>
    <x v="0"/>
    <x v="6"/>
    <x v="1"/>
    <s v="No"/>
    <s v="Y"/>
    <n v="3"/>
    <n v="-2"/>
    <n v="0"/>
    <x v="10"/>
    <x v="1"/>
    <m/>
    <n v="0"/>
    <n v="1"/>
    <n v="890"/>
    <n v="2"/>
    <x v="3"/>
    <x v="0"/>
    <n v="4"/>
    <n v="97"/>
    <n v="3"/>
    <n v="1"/>
    <x v="0"/>
    <n v="2014"/>
    <n v="9687"/>
    <n v="1"/>
    <n v="13"/>
    <n v="3"/>
    <n v="1"/>
    <n v="80"/>
    <n v="0"/>
    <n v="2"/>
    <n v="3"/>
    <n v="2"/>
    <n v="2"/>
    <n v="2"/>
    <n v="2"/>
  </r>
  <r>
    <s v="No"/>
    <s v="Travel_Rarely"/>
    <x v="0"/>
    <s v="Current Employees"/>
    <x v="1"/>
    <x v="0"/>
    <x v="38"/>
    <x v="38"/>
    <x v="0"/>
    <x v="1"/>
    <x v="1"/>
    <s v="Yes"/>
    <s v="Y"/>
    <n v="3"/>
    <n v="-2"/>
    <n v="0"/>
    <x v="9"/>
    <x v="1"/>
    <m/>
    <n v="0"/>
    <n v="1"/>
    <n v="852"/>
    <n v="5"/>
    <x v="2"/>
    <x v="0"/>
    <n v="2"/>
    <n v="82"/>
    <n v="2"/>
    <n v="1"/>
    <x v="1"/>
    <n v="3419"/>
    <n v="13072"/>
    <n v="9"/>
    <n v="14"/>
    <n v="3"/>
    <n v="4"/>
    <n v="80"/>
    <n v="1"/>
    <n v="6"/>
    <n v="4"/>
    <n v="1"/>
    <n v="1"/>
    <n v="0"/>
    <n v="0"/>
  </r>
  <r>
    <s v="No"/>
    <s v="Travel_Frequently"/>
    <x v="2"/>
    <s v="Current Employees"/>
    <x v="0"/>
    <x v="0"/>
    <x v="39"/>
    <x v="39"/>
    <x v="0"/>
    <x v="0"/>
    <x v="1"/>
    <s v="No"/>
    <s v="Y"/>
    <n v="3"/>
    <n v="-2"/>
    <n v="0"/>
    <x v="3"/>
    <x v="1"/>
    <m/>
    <n v="0"/>
    <n v="1"/>
    <n v="1141"/>
    <n v="1"/>
    <x v="3"/>
    <x v="0"/>
    <n v="3"/>
    <n v="42"/>
    <n v="4"/>
    <n v="2"/>
    <x v="1"/>
    <n v="5376"/>
    <n v="3193"/>
    <n v="2"/>
    <n v="19"/>
    <n v="3"/>
    <n v="1"/>
    <n v="80"/>
    <n v="2"/>
    <n v="10"/>
    <n v="3"/>
    <n v="5"/>
    <n v="3"/>
    <n v="1"/>
    <n v="3"/>
  </r>
  <r>
    <s v="No"/>
    <s v="Travel_Rarely"/>
    <x v="0"/>
    <s v="Current Employees"/>
    <x v="1"/>
    <x v="1"/>
    <x v="40"/>
    <x v="40"/>
    <x v="1"/>
    <x v="2"/>
    <x v="2"/>
    <s v="No"/>
    <s v="Y"/>
    <n v="3"/>
    <n v="-2"/>
    <n v="0"/>
    <x v="10"/>
    <x v="1"/>
    <m/>
    <n v="0"/>
    <n v="1"/>
    <n v="464"/>
    <n v="4"/>
    <x v="0"/>
    <x v="0"/>
    <n v="3"/>
    <n v="75"/>
    <n v="3"/>
    <n v="1"/>
    <x v="0"/>
    <n v="1951"/>
    <n v="10910"/>
    <n v="1"/>
    <n v="12"/>
    <n v="3"/>
    <n v="3"/>
    <n v="80"/>
    <n v="1"/>
    <n v="1"/>
    <n v="3"/>
    <n v="1"/>
    <n v="0"/>
    <n v="0"/>
    <n v="0"/>
  </r>
  <r>
    <s v="No"/>
    <s v="Travel_Rarely"/>
    <x v="2"/>
    <s v="Current Employees"/>
    <x v="1"/>
    <x v="0"/>
    <x v="41"/>
    <x v="41"/>
    <x v="0"/>
    <x v="2"/>
    <x v="2"/>
    <s v="No"/>
    <s v="Y"/>
    <n v="6"/>
    <n v="-2"/>
    <n v="0"/>
    <x v="4"/>
    <x v="1"/>
    <m/>
    <n v="0"/>
    <n v="1"/>
    <n v="1240"/>
    <n v="2"/>
    <x v="2"/>
    <x v="0"/>
    <n v="4"/>
    <n v="33"/>
    <n v="3"/>
    <n v="1"/>
    <x v="1"/>
    <n v="2341"/>
    <n v="19715"/>
    <n v="1"/>
    <n v="13"/>
    <n v="3"/>
    <n v="4"/>
    <n v="80"/>
    <n v="1"/>
    <n v="1"/>
    <n v="3"/>
    <n v="1"/>
    <n v="0"/>
    <n v="0"/>
    <n v="0"/>
  </r>
  <r>
    <s v="Yes"/>
    <s v="Travel_Rarely"/>
    <x v="2"/>
    <s v="Ex-Employees"/>
    <x v="1"/>
    <x v="0"/>
    <x v="42"/>
    <x v="42"/>
    <x v="1"/>
    <x v="2"/>
    <x v="0"/>
    <s v="No"/>
    <s v="Y"/>
    <n v="2"/>
    <n v="-2"/>
    <n v="0"/>
    <x v="25"/>
    <x v="0"/>
    <n v="1"/>
    <n v="1"/>
    <n v="0"/>
    <n v="1357"/>
    <n v="25"/>
    <x v="3"/>
    <x v="0"/>
    <n v="1"/>
    <n v="48"/>
    <n v="1"/>
    <n v="1"/>
    <x v="1"/>
    <n v="2293"/>
    <n v="10558"/>
    <n v="1"/>
    <n v="12"/>
    <n v="3"/>
    <n v="3"/>
    <n v="80"/>
    <n v="0"/>
    <n v="1"/>
    <n v="2"/>
    <n v="1"/>
    <n v="0"/>
    <n v="0"/>
    <n v="1"/>
  </r>
  <r>
    <s v="No"/>
    <s v="Travel_Frequently"/>
    <x v="2"/>
    <s v="Current Employees"/>
    <x v="0"/>
    <x v="0"/>
    <x v="43"/>
    <x v="43"/>
    <x v="1"/>
    <x v="0"/>
    <x v="0"/>
    <s v="No"/>
    <s v="Y"/>
    <n v="0"/>
    <n v="-2"/>
    <n v="0"/>
    <x v="4"/>
    <x v="1"/>
    <m/>
    <n v="0"/>
    <n v="1"/>
    <n v="994"/>
    <n v="8"/>
    <x v="3"/>
    <x v="0"/>
    <n v="4"/>
    <n v="37"/>
    <n v="3"/>
    <n v="3"/>
    <x v="1"/>
    <n v="8726"/>
    <n v="2975"/>
    <n v="1"/>
    <n v="15"/>
    <n v="3"/>
    <n v="4"/>
    <n v="80"/>
    <n v="0"/>
    <n v="9"/>
    <n v="3"/>
    <n v="9"/>
    <n v="8"/>
    <n v="1"/>
    <n v="7"/>
  </r>
  <r>
    <s v="No"/>
    <s v="Travel_Frequently"/>
    <x v="2"/>
    <s v="Current Employees"/>
    <x v="1"/>
    <x v="2"/>
    <x v="44"/>
    <x v="44"/>
    <x v="0"/>
    <x v="2"/>
    <x v="0"/>
    <s v="No"/>
    <s v="Y"/>
    <n v="2"/>
    <n v="-2"/>
    <n v="0"/>
    <x v="7"/>
    <x v="1"/>
    <m/>
    <n v="0"/>
    <n v="1"/>
    <n v="721"/>
    <n v="1"/>
    <x v="0"/>
    <x v="0"/>
    <n v="3"/>
    <n v="58"/>
    <n v="3"/>
    <n v="2"/>
    <x v="0"/>
    <n v="4011"/>
    <n v="10781"/>
    <n v="1"/>
    <n v="23"/>
    <n v="4"/>
    <n v="4"/>
    <n v="80"/>
    <n v="0"/>
    <n v="12"/>
    <n v="3"/>
    <n v="12"/>
    <n v="8"/>
    <n v="3"/>
    <n v="7"/>
  </r>
  <r>
    <s v="Yes"/>
    <s v="Travel_Rarely"/>
    <x v="0"/>
    <s v="Ex-Employees"/>
    <x v="1"/>
    <x v="4"/>
    <x v="45"/>
    <x v="45"/>
    <x v="0"/>
    <x v="7"/>
    <x v="1"/>
    <s v="No"/>
    <s v="Y"/>
    <n v="0"/>
    <n v="-2"/>
    <n v="0"/>
    <x v="0"/>
    <x v="0"/>
    <n v="1"/>
    <n v="1"/>
    <n v="0"/>
    <n v="1360"/>
    <n v="12"/>
    <x v="3"/>
    <x v="0"/>
    <n v="2"/>
    <n v="49"/>
    <n v="3"/>
    <n v="5"/>
    <x v="2"/>
    <n v="19545"/>
    <n v="16280"/>
    <n v="1"/>
    <n v="12"/>
    <n v="3"/>
    <n v="4"/>
    <n v="80"/>
    <n v="0"/>
    <n v="23"/>
    <n v="3"/>
    <n v="22"/>
    <n v="15"/>
    <n v="15"/>
    <n v="8"/>
  </r>
  <r>
    <s v="No"/>
    <s v="Non-Travel"/>
    <x v="2"/>
    <s v="Current Employees"/>
    <x v="0"/>
    <x v="3"/>
    <x v="46"/>
    <x v="46"/>
    <x v="1"/>
    <x v="0"/>
    <x v="0"/>
    <s v="No"/>
    <s v="Y"/>
    <n v="2"/>
    <n v="-2"/>
    <n v="0"/>
    <x v="13"/>
    <x v="1"/>
    <m/>
    <n v="0"/>
    <n v="1"/>
    <n v="1065"/>
    <n v="23"/>
    <x v="2"/>
    <x v="0"/>
    <n v="2"/>
    <n v="72"/>
    <n v="3"/>
    <n v="2"/>
    <x v="2"/>
    <n v="4568"/>
    <n v="10034"/>
    <n v="0"/>
    <n v="20"/>
    <n v="4"/>
    <n v="3"/>
    <n v="80"/>
    <n v="0"/>
    <n v="10"/>
    <n v="3"/>
    <n v="9"/>
    <n v="5"/>
    <n v="8"/>
    <n v="7"/>
  </r>
  <r>
    <s v="No"/>
    <s v="Travel_Rarely"/>
    <x v="0"/>
    <s v="Current Employees"/>
    <x v="1"/>
    <x v="0"/>
    <x v="47"/>
    <x v="47"/>
    <x v="1"/>
    <x v="1"/>
    <x v="1"/>
    <s v="No"/>
    <s v="Y"/>
    <n v="1"/>
    <n v="-2"/>
    <n v="0"/>
    <x v="2"/>
    <x v="1"/>
    <m/>
    <n v="0"/>
    <n v="1"/>
    <n v="408"/>
    <n v="19"/>
    <x v="0"/>
    <x v="0"/>
    <n v="2"/>
    <n v="73"/>
    <n v="3"/>
    <n v="1"/>
    <x v="1"/>
    <n v="3022"/>
    <n v="10227"/>
    <n v="4"/>
    <n v="21"/>
    <n v="4"/>
    <n v="1"/>
    <n v="80"/>
    <n v="0"/>
    <n v="8"/>
    <n v="3"/>
    <n v="1"/>
    <n v="0"/>
    <n v="0"/>
    <n v="0"/>
  </r>
  <r>
    <s v="No"/>
    <s v="Travel_Frequently"/>
    <x v="1"/>
    <s v="Current Employees"/>
    <x v="0"/>
    <x v="3"/>
    <x v="48"/>
    <x v="48"/>
    <x v="1"/>
    <x v="0"/>
    <x v="0"/>
    <s v="Yes"/>
    <s v="Y"/>
    <n v="4"/>
    <n v="-2"/>
    <n v="0"/>
    <x v="21"/>
    <x v="1"/>
    <m/>
    <n v="0"/>
    <n v="1"/>
    <n v="1211"/>
    <n v="5"/>
    <x v="2"/>
    <x v="0"/>
    <n v="1"/>
    <n v="98"/>
    <n v="3"/>
    <n v="2"/>
    <x v="0"/>
    <n v="5772"/>
    <n v="20445"/>
    <n v="4"/>
    <n v="21"/>
    <n v="4"/>
    <n v="3"/>
    <n v="80"/>
    <n v="0"/>
    <n v="14"/>
    <n v="3"/>
    <n v="9"/>
    <n v="6"/>
    <n v="0"/>
    <n v="8"/>
  </r>
  <r>
    <s v="No"/>
    <s v="Travel_Rarely"/>
    <x v="0"/>
    <s v="Current Employees"/>
    <x v="1"/>
    <x v="0"/>
    <x v="49"/>
    <x v="49"/>
    <x v="1"/>
    <x v="2"/>
    <x v="1"/>
    <s v="No"/>
    <s v="Y"/>
    <n v="2"/>
    <n v="-2"/>
    <n v="0"/>
    <x v="10"/>
    <x v="1"/>
    <m/>
    <n v="0"/>
    <n v="1"/>
    <n v="1229"/>
    <n v="8"/>
    <x v="1"/>
    <x v="0"/>
    <n v="4"/>
    <n v="36"/>
    <n v="4"/>
    <n v="1"/>
    <x v="1"/>
    <n v="2269"/>
    <n v="4892"/>
    <n v="1"/>
    <n v="19"/>
    <n v="3"/>
    <n v="4"/>
    <n v="80"/>
    <n v="0"/>
    <n v="1"/>
    <n v="3"/>
    <n v="1"/>
    <n v="0"/>
    <n v="0"/>
    <n v="1"/>
  </r>
  <r>
    <s v="Yes"/>
    <s v="Travel_Rarely"/>
    <x v="1"/>
    <s v="Ex-Employees"/>
    <x v="1"/>
    <x v="0"/>
    <x v="50"/>
    <x v="50"/>
    <x v="1"/>
    <x v="2"/>
    <x v="0"/>
    <s v="Yes"/>
    <s v="Y"/>
    <n v="2"/>
    <n v="-2"/>
    <n v="0"/>
    <x v="26"/>
    <x v="0"/>
    <n v="1"/>
    <n v="1"/>
    <n v="0"/>
    <n v="626"/>
    <n v="1"/>
    <x v="0"/>
    <x v="0"/>
    <n v="1"/>
    <n v="98"/>
    <n v="2"/>
    <n v="3"/>
    <x v="1"/>
    <n v="5381"/>
    <n v="19294"/>
    <n v="9"/>
    <n v="13"/>
    <n v="3"/>
    <n v="4"/>
    <n v="80"/>
    <n v="0"/>
    <n v="23"/>
    <n v="3"/>
    <n v="1"/>
    <n v="0"/>
    <n v="0"/>
    <n v="0"/>
  </r>
  <r>
    <s v="Yes"/>
    <s v="Travel_Rarely"/>
    <x v="2"/>
    <s v="Ex-Employees"/>
    <x v="1"/>
    <x v="4"/>
    <x v="51"/>
    <x v="51"/>
    <x v="1"/>
    <x v="2"/>
    <x v="0"/>
    <s v="Yes"/>
    <s v="Y"/>
    <n v="3"/>
    <n v="-2"/>
    <n v="0"/>
    <x v="14"/>
    <x v="0"/>
    <n v="1"/>
    <n v="1"/>
    <n v="0"/>
    <n v="1434"/>
    <n v="5"/>
    <x v="2"/>
    <x v="0"/>
    <n v="3"/>
    <n v="50"/>
    <n v="3"/>
    <n v="1"/>
    <x v="2"/>
    <n v="3441"/>
    <n v="11179"/>
    <n v="1"/>
    <n v="13"/>
    <n v="3"/>
    <n v="3"/>
    <n v="80"/>
    <n v="0"/>
    <n v="2"/>
    <n v="2"/>
    <n v="2"/>
    <n v="2"/>
    <n v="2"/>
    <n v="2"/>
  </r>
  <r>
    <s v="No"/>
    <s v="Travel_Rarely"/>
    <x v="0"/>
    <s v="Current Employees"/>
    <x v="0"/>
    <x v="3"/>
    <x v="52"/>
    <x v="52"/>
    <x v="0"/>
    <x v="0"/>
    <x v="2"/>
    <s v="Yes"/>
    <s v="Y"/>
    <n v="2"/>
    <n v="-2"/>
    <n v="0"/>
    <x v="20"/>
    <x v="1"/>
    <m/>
    <n v="0"/>
    <n v="1"/>
    <n v="1488"/>
    <n v="1"/>
    <x v="4"/>
    <x v="0"/>
    <n v="2"/>
    <n v="75"/>
    <n v="3"/>
    <n v="2"/>
    <x v="0"/>
    <n v="5454"/>
    <n v="4009"/>
    <n v="5"/>
    <n v="21"/>
    <n v="4"/>
    <n v="3"/>
    <n v="80"/>
    <n v="1"/>
    <n v="9"/>
    <n v="2"/>
    <n v="4"/>
    <n v="3"/>
    <n v="1"/>
    <n v="3"/>
  </r>
  <r>
    <s v="No"/>
    <s v="Non-Travel"/>
    <x v="0"/>
    <s v="Current Employees"/>
    <x v="1"/>
    <x v="2"/>
    <x v="53"/>
    <x v="53"/>
    <x v="1"/>
    <x v="4"/>
    <x v="1"/>
    <s v="Yes"/>
    <s v="Y"/>
    <n v="3"/>
    <n v="-2"/>
    <n v="0"/>
    <x v="10"/>
    <x v="1"/>
    <m/>
    <n v="0"/>
    <n v="1"/>
    <n v="1097"/>
    <n v="11"/>
    <x v="0"/>
    <x v="0"/>
    <n v="3"/>
    <n v="79"/>
    <n v="2"/>
    <n v="3"/>
    <x v="0"/>
    <n v="9884"/>
    <n v="8302"/>
    <n v="2"/>
    <n v="13"/>
    <n v="3"/>
    <n v="3"/>
    <n v="80"/>
    <n v="1"/>
    <n v="10"/>
    <n v="3"/>
    <n v="4"/>
    <n v="0"/>
    <n v="2"/>
    <n v="3"/>
  </r>
  <r>
    <s v="No"/>
    <s v="Travel_Rarely"/>
    <x v="2"/>
    <s v="Current Employees"/>
    <x v="0"/>
    <x v="3"/>
    <x v="54"/>
    <x v="54"/>
    <x v="0"/>
    <x v="0"/>
    <x v="1"/>
    <s v="Yes"/>
    <s v="Y"/>
    <n v="2"/>
    <n v="-2"/>
    <n v="0"/>
    <x v="25"/>
    <x v="1"/>
    <m/>
    <n v="0"/>
    <n v="1"/>
    <n v="1443"/>
    <n v="23"/>
    <x v="3"/>
    <x v="0"/>
    <n v="3"/>
    <n v="47"/>
    <n v="2"/>
    <n v="2"/>
    <x v="0"/>
    <n v="4157"/>
    <n v="21436"/>
    <n v="7"/>
    <n v="19"/>
    <n v="3"/>
    <n v="3"/>
    <n v="80"/>
    <n v="1"/>
    <n v="5"/>
    <n v="2"/>
    <n v="2"/>
    <n v="2"/>
    <n v="0"/>
    <n v="0"/>
  </r>
  <r>
    <s v="No"/>
    <s v="Travel_Frequently"/>
    <x v="2"/>
    <s v="Current Employees"/>
    <x v="1"/>
    <x v="0"/>
    <x v="55"/>
    <x v="55"/>
    <x v="0"/>
    <x v="7"/>
    <x v="0"/>
    <s v="Yes"/>
    <s v="Y"/>
    <n v="1"/>
    <n v="-2"/>
    <n v="0"/>
    <x v="3"/>
    <x v="1"/>
    <m/>
    <n v="0"/>
    <n v="1"/>
    <n v="515"/>
    <n v="1"/>
    <x v="0"/>
    <x v="0"/>
    <n v="1"/>
    <n v="98"/>
    <n v="3"/>
    <n v="3"/>
    <x v="1"/>
    <n v="13458"/>
    <n v="15146"/>
    <n v="1"/>
    <n v="12"/>
    <n v="3"/>
    <n v="3"/>
    <n v="80"/>
    <n v="0"/>
    <n v="15"/>
    <n v="3"/>
    <n v="15"/>
    <n v="14"/>
    <n v="8"/>
    <n v="12"/>
  </r>
  <r>
    <s v="No"/>
    <s v="Travel_Frequently"/>
    <x v="0"/>
    <s v="Current Employees"/>
    <x v="0"/>
    <x v="0"/>
    <x v="56"/>
    <x v="56"/>
    <x v="1"/>
    <x v="0"/>
    <x v="1"/>
    <s v="No"/>
    <s v="Y"/>
    <n v="3"/>
    <n v="-2"/>
    <n v="0"/>
    <x v="10"/>
    <x v="1"/>
    <m/>
    <n v="0"/>
    <n v="1"/>
    <n v="853"/>
    <n v="18"/>
    <x v="4"/>
    <x v="0"/>
    <n v="2"/>
    <n v="71"/>
    <n v="3"/>
    <n v="3"/>
    <x v="1"/>
    <n v="9069"/>
    <n v="11031"/>
    <n v="1"/>
    <n v="22"/>
    <n v="4"/>
    <n v="4"/>
    <n v="80"/>
    <n v="1"/>
    <n v="9"/>
    <n v="2"/>
    <n v="9"/>
    <n v="8"/>
    <n v="1"/>
    <n v="8"/>
  </r>
  <r>
    <s v="No"/>
    <s v="Travel_Rarely"/>
    <x v="0"/>
    <s v="Current Employees"/>
    <x v="1"/>
    <x v="2"/>
    <x v="57"/>
    <x v="57"/>
    <x v="0"/>
    <x v="2"/>
    <x v="1"/>
    <s v="Yes"/>
    <s v="Y"/>
    <n v="3"/>
    <n v="-2"/>
    <n v="0"/>
    <x v="10"/>
    <x v="1"/>
    <m/>
    <n v="0"/>
    <n v="1"/>
    <n v="1142"/>
    <n v="23"/>
    <x v="2"/>
    <x v="0"/>
    <n v="3"/>
    <n v="30"/>
    <n v="3"/>
    <n v="1"/>
    <x v="0"/>
    <n v="4014"/>
    <n v="16002"/>
    <n v="3"/>
    <n v="15"/>
    <n v="3"/>
    <n v="3"/>
    <n v="80"/>
    <n v="1"/>
    <n v="4"/>
    <n v="3"/>
    <n v="2"/>
    <n v="2"/>
    <n v="2"/>
    <n v="2"/>
  </r>
  <r>
    <s v="No"/>
    <s v="Travel_Rarely"/>
    <x v="2"/>
    <s v="Current Employees"/>
    <x v="1"/>
    <x v="0"/>
    <x v="58"/>
    <x v="58"/>
    <x v="1"/>
    <x v="2"/>
    <x v="2"/>
    <s v="No"/>
    <s v="Y"/>
    <n v="3"/>
    <n v="-2"/>
    <n v="0"/>
    <x v="12"/>
    <x v="1"/>
    <m/>
    <n v="0"/>
    <n v="1"/>
    <n v="655"/>
    <n v="7"/>
    <x v="2"/>
    <x v="0"/>
    <n v="4"/>
    <n v="48"/>
    <n v="3"/>
    <n v="2"/>
    <x v="1"/>
    <n v="5915"/>
    <n v="9528"/>
    <n v="3"/>
    <n v="22"/>
    <n v="4"/>
    <n v="4"/>
    <n v="80"/>
    <n v="1"/>
    <n v="10"/>
    <n v="2"/>
    <n v="7"/>
    <n v="7"/>
    <n v="1"/>
    <n v="7"/>
  </r>
  <r>
    <s v="No"/>
    <s v="Travel_Rarely"/>
    <x v="0"/>
    <s v="Current Employees"/>
    <x v="1"/>
    <x v="0"/>
    <x v="59"/>
    <x v="59"/>
    <x v="1"/>
    <x v="3"/>
    <x v="2"/>
    <s v="No"/>
    <s v="Y"/>
    <n v="2"/>
    <n v="-2"/>
    <n v="0"/>
    <x v="2"/>
    <x v="1"/>
    <m/>
    <n v="0"/>
    <n v="1"/>
    <n v="1115"/>
    <n v="1"/>
    <x v="2"/>
    <x v="0"/>
    <n v="1"/>
    <n v="51"/>
    <n v="2"/>
    <n v="2"/>
    <x v="1"/>
    <n v="5993"/>
    <n v="2689"/>
    <n v="1"/>
    <n v="18"/>
    <n v="3"/>
    <n v="3"/>
    <n v="80"/>
    <n v="1"/>
    <n v="7"/>
    <n v="4"/>
    <n v="7"/>
    <n v="5"/>
    <n v="0"/>
    <n v="7"/>
  </r>
  <r>
    <s v="No"/>
    <s v="Travel_Rarely"/>
    <x v="2"/>
    <s v="Current Employees"/>
    <x v="1"/>
    <x v="2"/>
    <x v="60"/>
    <x v="60"/>
    <x v="1"/>
    <x v="3"/>
    <x v="1"/>
    <s v="Yes"/>
    <s v="Y"/>
    <n v="3"/>
    <n v="-2"/>
    <n v="0"/>
    <x v="5"/>
    <x v="1"/>
    <m/>
    <n v="0"/>
    <n v="1"/>
    <n v="427"/>
    <n v="1"/>
    <x v="3"/>
    <x v="0"/>
    <n v="1"/>
    <n v="33"/>
    <n v="3"/>
    <n v="2"/>
    <x v="0"/>
    <n v="6162"/>
    <n v="10877"/>
    <n v="1"/>
    <n v="22"/>
    <n v="4"/>
    <n v="2"/>
    <n v="80"/>
    <n v="1"/>
    <n v="9"/>
    <n v="3"/>
    <n v="9"/>
    <n v="8"/>
    <n v="7"/>
    <n v="8"/>
  </r>
  <r>
    <s v="No"/>
    <s v="Travel_Frequently"/>
    <x v="0"/>
    <s v="Current Employees"/>
    <x v="1"/>
    <x v="0"/>
    <x v="61"/>
    <x v="61"/>
    <x v="0"/>
    <x v="2"/>
    <x v="0"/>
    <s v="No"/>
    <s v="Y"/>
    <n v="2"/>
    <n v="-2"/>
    <n v="0"/>
    <x v="8"/>
    <x v="1"/>
    <m/>
    <n v="0"/>
    <n v="1"/>
    <n v="653"/>
    <n v="29"/>
    <x v="4"/>
    <x v="0"/>
    <n v="4"/>
    <n v="50"/>
    <n v="3"/>
    <n v="2"/>
    <x v="1"/>
    <n v="2406"/>
    <n v="5456"/>
    <n v="1"/>
    <n v="11"/>
    <n v="3"/>
    <n v="4"/>
    <n v="80"/>
    <n v="0"/>
    <n v="10"/>
    <n v="3"/>
    <n v="10"/>
    <n v="3"/>
    <n v="9"/>
    <n v="9"/>
  </r>
  <r>
    <s v="No"/>
    <s v="Travel_Rarely"/>
    <x v="1"/>
    <s v="Current Employees"/>
    <x v="1"/>
    <x v="2"/>
    <x v="62"/>
    <x v="62"/>
    <x v="0"/>
    <x v="7"/>
    <x v="2"/>
    <s v="Yes"/>
    <s v="Y"/>
    <n v="2"/>
    <n v="-2"/>
    <n v="0"/>
    <x v="24"/>
    <x v="1"/>
    <m/>
    <n v="0"/>
    <n v="1"/>
    <n v="989"/>
    <n v="7"/>
    <x v="0"/>
    <x v="0"/>
    <n v="2"/>
    <n v="43"/>
    <n v="2"/>
    <n v="5"/>
    <x v="2"/>
    <n v="18740"/>
    <n v="16701"/>
    <n v="5"/>
    <n v="12"/>
    <n v="3"/>
    <n v="4"/>
    <n v="80"/>
    <n v="1"/>
    <n v="29"/>
    <n v="2"/>
    <n v="27"/>
    <n v="3"/>
    <n v="13"/>
    <n v="8"/>
  </r>
  <r>
    <s v="No"/>
    <s v="Travel_Rarely"/>
    <x v="3"/>
    <s v="Current Employees"/>
    <x v="0"/>
    <x v="0"/>
    <x v="63"/>
    <x v="63"/>
    <x v="0"/>
    <x v="0"/>
    <x v="0"/>
    <s v="No"/>
    <s v="Y"/>
    <n v="3"/>
    <n v="-2"/>
    <n v="0"/>
    <x v="6"/>
    <x v="1"/>
    <m/>
    <n v="0"/>
    <n v="1"/>
    <n v="1435"/>
    <n v="25"/>
    <x v="3"/>
    <x v="0"/>
    <n v="1"/>
    <n v="99"/>
    <n v="3"/>
    <n v="3"/>
    <x v="1"/>
    <n v="7637"/>
    <n v="2354"/>
    <n v="7"/>
    <n v="11"/>
    <n v="3"/>
    <n v="4"/>
    <n v="80"/>
    <n v="0"/>
    <n v="28"/>
    <n v="2"/>
    <n v="21"/>
    <n v="16"/>
    <n v="7"/>
    <n v="9"/>
  </r>
  <r>
    <s v="No"/>
    <s v="Travel_Rarely"/>
    <x v="0"/>
    <s v="Current Employees"/>
    <x v="1"/>
    <x v="4"/>
    <x v="64"/>
    <x v="64"/>
    <x v="0"/>
    <x v="4"/>
    <x v="2"/>
    <s v="No"/>
    <s v="Y"/>
    <n v="2"/>
    <n v="-2"/>
    <n v="0"/>
    <x v="9"/>
    <x v="1"/>
    <m/>
    <n v="0"/>
    <n v="1"/>
    <n v="1223"/>
    <n v="8"/>
    <x v="3"/>
    <x v="0"/>
    <n v="3"/>
    <n v="59"/>
    <n v="3"/>
    <n v="3"/>
    <x v="2"/>
    <n v="10096"/>
    <n v="8202"/>
    <n v="1"/>
    <n v="13"/>
    <n v="3"/>
    <n v="2"/>
    <n v="80"/>
    <n v="3"/>
    <n v="17"/>
    <n v="3"/>
    <n v="17"/>
    <n v="14"/>
    <n v="12"/>
    <n v="8"/>
  </r>
  <r>
    <s v="No"/>
    <s v="Travel_Rarely"/>
    <x v="3"/>
    <s v="Current Employees"/>
    <x v="1"/>
    <x v="2"/>
    <x v="65"/>
    <x v="65"/>
    <x v="0"/>
    <x v="5"/>
    <x v="2"/>
    <s v="Yes"/>
    <s v="Y"/>
    <n v="2"/>
    <n v="-2"/>
    <n v="0"/>
    <x v="27"/>
    <x v="1"/>
    <m/>
    <n v="0"/>
    <n v="1"/>
    <n v="836"/>
    <n v="8"/>
    <x v="3"/>
    <x v="0"/>
    <n v="4"/>
    <n v="33"/>
    <n v="3"/>
    <n v="4"/>
    <x v="2"/>
    <n v="14756"/>
    <n v="19730"/>
    <n v="2"/>
    <n v="14"/>
    <n v="3"/>
    <n v="3"/>
    <n v="80"/>
    <n v="3"/>
    <n v="21"/>
    <n v="3"/>
    <n v="5"/>
    <n v="0"/>
    <n v="0"/>
    <n v="2"/>
  </r>
  <r>
    <s v="No"/>
    <s v="Travel_Frequently"/>
    <x v="0"/>
    <s v="Current Employees"/>
    <x v="1"/>
    <x v="0"/>
    <x v="66"/>
    <x v="66"/>
    <x v="1"/>
    <x v="3"/>
    <x v="0"/>
    <s v="No"/>
    <s v="Y"/>
    <n v="3"/>
    <n v="-2"/>
    <n v="0"/>
    <x v="9"/>
    <x v="1"/>
    <m/>
    <n v="0"/>
    <n v="1"/>
    <n v="1195"/>
    <n v="11"/>
    <x v="3"/>
    <x v="0"/>
    <n v="2"/>
    <n v="95"/>
    <n v="2"/>
    <n v="2"/>
    <x v="1"/>
    <n v="6499"/>
    <n v="22656"/>
    <n v="1"/>
    <n v="13"/>
    <n v="3"/>
    <n v="3"/>
    <n v="80"/>
    <n v="0"/>
    <n v="6"/>
    <n v="3"/>
    <n v="6"/>
    <n v="5"/>
    <n v="0"/>
    <n v="3"/>
  </r>
  <r>
    <s v="No"/>
    <s v="Travel_Rarely"/>
    <x v="1"/>
    <s v="Current Employees"/>
    <x v="1"/>
    <x v="0"/>
    <x v="67"/>
    <x v="67"/>
    <x v="1"/>
    <x v="1"/>
    <x v="2"/>
    <s v="No"/>
    <s v="Y"/>
    <n v="2"/>
    <n v="-2"/>
    <n v="0"/>
    <x v="28"/>
    <x v="1"/>
    <m/>
    <n v="0"/>
    <n v="1"/>
    <n v="1339"/>
    <n v="7"/>
    <x v="3"/>
    <x v="0"/>
    <n v="2"/>
    <n v="59"/>
    <n v="3"/>
    <n v="3"/>
    <x v="1"/>
    <n v="9724"/>
    <n v="18787"/>
    <n v="2"/>
    <n v="17"/>
    <n v="3"/>
    <n v="3"/>
    <n v="80"/>
    <n v="1"/>
    <n v="25"/>
    <n v="3"/>
    <n v="1"/>
    <n v="0"/>
    <n v="0"/>
    <n v="0"/>
  </r>
  <r>
    <s v="No"/>
    <s v="Travel_Frequently"/>
    <x v="0"/>
    <s v="Current Employees"/>
    <x v="1"/>
    <x v="2"/>
    <x v="68"/>
    <x v="68"/>
    <x v="1"/>
    <x v="1"/>
    <x v="1"/>
    <s v="No"/>
    <s v="Y"/>
    <n v="2"/>
    <n v="-2"/>
    <n v="0"/>
    <x v="10"/>
    <x v="1"/>
    <m/>
    <n v="0"/>
    <n v="1"/>
    <n v="664"/>
    <n v="1"/>
    <x v="3"/>
    <x v="0"/>
    <n v="2"/>
    <n v="79"/>
    <n v="3"/>
    <n v="1"/>
    <x v="0"/>
    <n v="2194"/>
    <n v="5868"/>
    <n v="4"/>
    <n v="13"/>
    <n v="3"/>
    <n v="4"/>
    <n v="80"/>
    <n v="1"/>
    <n v="5"/>
    <n v="2"/>
    <n v="3"/>
    <n v="2"/>
    <n v="1"/>
    <n v="2"/>
  </r>
  <r>
    <s v="Yes"/>
    <s v="Travel_Rarely"/>
    <x v="0"/>
    <s v="Ex-Employees"/>
    <x v="1"/>
    <x v="2"/>
    <x v="69"/>
    <x v="69"/>
    <x v="1"/>
    <x v="1"/>
    <x v="1"/>
    <s v="Yes"/>
    <s v="Y"/>
    <n v="0"/>
    <n v="-2"/>
    <n v="0"/>
    <x v="9"/>
    <x v="0"/>
    <n v="1"/>
    <n v="1"/>
    <n v="0"/>
    <n v="318"/>
    <n v="9"/>
    <x v="3"/>
    <x v="0"/>
    <n v="4"/>
    <n v="79"/>
    <n v="2"/>
    <n v="1"/>
    <x v="2"/>
    <n v="3388"/>
    <n v="21777"/>
    <n v="0"/>
    <n v="17"/>
    <n v="3"/>
    <n v="1"/>
    <n v="80"/>
    <n v="1"/>
    <n v="2"/>
    <n v="2"/>
    <n v="1"/>
    <n v="0"/>
    <n v="0"/>
    <n v="0"/>
  </r>
  <r>
    <s v="No"/>
    <s v="Travel_Frequently"/>
    <x v="3"/>
    <s v="Current Employees"/>
    <x v="0"/>
    <x v="0"/>
    <x v="70"/>
    <x v="70"/>
    <x v="0"/>
    <x v="0"/>
    <x v="0"/>
    <s v="No"/>
    <s v="Y"/>
    <n v="2"/>
    <n v="-2"/>
    <n v="0"/>
    <x v="6"/>
    <x v="1"/>
    <m/>
    <n v="0"/>
    <n v="1"/>
    <n v="1225"/>
    <n v="1"/>
    <x v="1"/>
    <x v="0"/>
    <n v="1"/>
    <n v="57"/>
    <n v="2"/>
    <n v="2"/>
    <x v="1"/>
    <n v="5473"/>
    <n v="24668"/>
    <n v="7"/>
    <n v="11"/>
    <n v="3"/>
    <n v="4"/>
    <n v="80"/>
    <n v="0"/>
    <n v="20"/>
    <n v="2"/>
    <n v="4"/>
    <n v="3"/>
    <n v="1"/>
    <n v="3"/>
  </r>
  <r>
    <s v="No"/>
    <s v="Travel_Rarely"/>
    <x v="2"/>
    <s v="Current Employees"/>
    <x v="1"/>
    <x v="0"/>
    <x v="71"/>
    <x v="71"/>
    <x v="1"/>
    <x v="1"/>
    <x v="1"/>
    <s v="No"/>
    <s v="Y"/>
    <n v="3"/>
    <n v="-2"/>
    <n v="0"/>
    <x v="11"/>
    <x v="1"/>
    <m/>
    <n v="0"/>
    <n v="1"/>
    <n v="1328"/>
    <n v="2"/>
    <x v="3"/>
    <x v="0"/>
    <n v="3"/>
    <n v="76"/>
    <n v="3"/>
    <n v="1"/>
    <x v="1"/>
    <n v="2703"/>
    <n v="4956"/>
    <n v="0"/>
    <n v="23"/>
    <n v="4"/>
    <n v="4"/>
    <n v="80"/>
    <n v="1"/>
    <n v="6"/>
    <n v="3"/>
    <n v="5"/>
    <n v="4"/>
    <n v="0"/>
    <n v="4"/>
  </r>
  <r>
    <s v="No"/>
    <s v="Travel_Rarely"/>
    <x v="2"/>
    <s v="Current Employees"/>
    <x v="1"/>
    <x v="2"/>
    <x v="72"/>
    <x v="72"/>
    <x v="1"/>
    <x v="1"/>
    <x v="0"/>
    <s v="No"/>
    <s v="Y"/>
    <n v="4"/>
    <n v="-2"/>
    <n v="0"/>
    <x v="12"/>
    <x v="1"/>
    <m/>
    <n v="0"/>
    <n v="1"/>
    <n v="1082"/>
    <n v="1"/>
    <x v="2"/>
    <x v="0"/>
    <n v="3"/>
    <n v="87"/>
    <n v="3"/>
    <n v="1"/>
    <x v="2"/>
    <n v="2501"/>
    <n v="18775"/>
    <n v="1"/>
    <n v="17"/>
    <n v="3"/>
    <n v="2"/>
    <n v="80"/>
    <n v="0"/>
    <n v="1"/>
    <n v="3"/>
    <n v="1"/>
    <n v="1"/>
    <n v="1"/>
    <n v="0"/>
  </r>
  <r>
    <s v="No"/>
    <s v="Travel_Rarely"/>
    <x v="2"/>
    <s v="Current Employees"/>
    <x v="1"/>
    <x v="0"/>
    <x v="73"/>
    <x v="73"/>
    <x v="1"/>
    <x v="1"/>
    <x v="1"/>
    <s v="No"/>
    <s v="Y"/>
    <n v="3"/>
    <n v="-2"/>
    <n v="0"/>
    <x v="5"/>
    <x v="1"/>
    <m/>
    <n v="0"/>
    <n v="1"/>
    <n v="548"/>
    <n v="1"/>
    <x v="3"/>
    <x v="0"/>
    <n v="2"/>
    <n v="66"/>
    <n v="3"/>
    <n v="2"/>
    <x v="1"/>
    <n v="6220"/>
    <n v="7346"/>
    <n v="1"/>
    <n v="17"/>
    <n v="3"/>
    <n v="2"/>
    <n v="80"/>
    <n v="2"/>
    <n v="10"/>
    <n v="3"/>
    <n v="10"/>
    <n v="4"/>
    <n v="0"/>
    <n v="9"/>
  </r>
  <r>
    <s v="No"/>
    <s v="Travel_Rarely"/>
    <x v="0"/>
    <s v="Current Employees"/>
    <x v="1"/>
    <x v="0"/>
    <x v="74"/>
    <x v="74"/>
    <x v="0"/>
    <x v="2"/>
    <x v="1"/>
    <s v="No"/>
    <s v="Y"/>
    <n v="3"/>
    <n v="-2"/>
    <n v="0"/>
    <x v="9"/>
    <x v="1"/>
    <m/>
    <n v="0"/>
    <n v="1"/>
    <n v="132"/>
    <n v="6"/>
    <x v="3"/>
    <x v="0"/>
    <n v="2"/>
    <n v="55"/>
    <n v="4"/>
    <n v="1"/>
    <x v="1"/>
    <n v="3038"/>
    <n v="22002"/>
    <n v="3"/>
    <n v="12"/>
    <n v="3"/>
    <n v="2"/>
    <n v="80"/>
    <n v="0"/>
    <n v="5"/>
    <n v="3"/>
    <n v="1"/>
    <n v="0"/>
    <n v="0"/>
    <n v="0"/>
  </r>
  <r>
    <s v="No"/>
    <s v="Travel_Rarely"/>
    <x v="2"/>
    <s v="Current Employees"/>
    <x v="1"/>
    <x v="0"/>
    <x v="75"/>
    <x v="75"/>
    <x v="0"/>
    <x v="3"/>
    <x v="0"/>
    <s v="No"/>
    <s v="Y"/>
    <n v="2"/>
    <n v="-2"/>
    <n v="0"/>
    <x v="12"/>
    <x v="1"/>
    <m/>
    <n v="0"/>
    <n v="1"/>
    <n v="746"/>
    <n v="8"/>
    <x v="2"/>
    <x v="0"/>
    <n v="3"/>
    <n v="61"/>
    <n v="3"/>
    <n v="2"/>
    <x v="1"/>
    <n v="4424"/>
    <n v="20682"/>
    <n v="1"/>
    <n v="23"/>
    <n v="4"/>
    <n v="4"/>
    <n v="80"/>
    <n v="0"/>
    <n v="11"/>
    <n v="3"/>
    <n v="11"/>
    <n v="7"/>
    <n v="1"/>
    <n v="8"/>
  </r>
  <r>
    <s v="No"/>
    <s v="Travel_Rarely"/>
    <x v="0"/>
    <s v="Current Employees"/>
    <x v="0"/>
    <x v="3"/>
    <x v="76"/>
    <x v="76"/>
    <x v="1"/>
    <x v="0"/>
    <x v="0"/>
    <s v="No"/>
    <s v="Y"/>
    <n v="2"/>
    <n v="-2"/>
    <n v="0"/>
    <x v="10"/>
    <x v="1"/>
    <m/>
    <n v="0"/>
    <n v="1"/>
    <n v="776"/>
    <n v="1"/>
    <x v="2"/>
    <x v="0"/>
    <n v="3"/>
    <n v="32"/>
    <n v="2"/>
    <n v="2"/>
    <x v="0"/>
    <n v="4312"/>
    <n v="23016"/>
    <n v="0"/>
    <n v="14"/>
    <n v="3"/>
    <n v="2"/>
    <n v="80"/>
    <n v="0"/>
    <n v="16"/>
    <n v="3"/>
    <n v="15"/>
    <n v="13"/>
    <n v="2"/>
    <n v="8"/>
  </r>
  <r>
    <s v="No"/>
    <s v="Travel_Rarely"/>
    <x v="1"/>
    <s v="Current Employees"/>
    <x v="1"/>
    <x v="1"/>
    <x v="77"/>
    <x v="77"/>
    <x v="1"/>
    <x v="7"/>
    <x v="1"/>
    <s v="Yes"/>
    <s v="Y"/>
    <n v="3"/>
    <n v="-2"/>
    <n v="0"/>
    <x v="28"/>
    <x v="1"/>
    <m/>
    <n v="0"/>
    <n v="1"/>
    <n v="193"/>
    <n v="6"/>
    <x v="2"/>
    <x v="0"/>
    <n v="4"/>
    <n v="52"/>
    <n v="3"/>
    <n v="3"/>
    <x v="0"/>
    <n v="13245"/>
    <n v="15067"/>
    <n v="4"/>
    <n v="14"/>
    <n v="3"/>
    <n v="2"/>
    <n v="80"/>
    <n v="0"/>
    <n v="17"/>
    <n v="4"/>
    <n v="0"/>
    <n v="0"/>
    <n v="0"/>
    <n v="0"/>
  </r>
  <r>
    <s v="No"/>
    <s v="Travel_Rarely"/>
    <x v="0"/>
    <s v="Current Employees"/>
    <x v="1"/>
    <x v="2"/>
    <x v="78"/>
    <x v="78"/>
    <x v="1"/>
    <x v="7"/>
    <x v="0"/>
    <s v="No"/>
    <s v="Y"/>
    <n v="3"/>
    <n v="-2"/>
    <n v="0"/>
    <x v="2"/>
    <x v="1"/>
    <m/>
    <n v="0"/>
    <n v="1"/>
    <n v="397"/>
    <n v="7"/>
    <x v="2"/>
    <x v="0"/>
    <n v="1"/>
    <n v="30"/>
    <n v="3"/>
    <n v="3"/>
    <x v="2"/>
    <n v="13664"/>
    <n v="25258"/>
    <n v="4"/>
    <n v="13"/>
    <n v="3"/>
    <n v="1"/>
    <n v="80"/>
    <n v="0"/>
    <n v="16"/>
    <n v="4"/>
    <n v="5"/>
    <n v="2"/>
    <n v="0"/>
    <n v="2"/>
  </r>
  <r>
    <s v="No"/>
    <s v="Travel_Rarely"/>
    <x v="1"/>
    <s v="Current Employees"/>
    <x v="2"/>
    <x v="2"/>
    <x v="79"/>
    <x v="79"/>
    <x v="1"/>
    <x v="8"/>
    <x v="2"/>
    <s v="Yes"/>
    <s v="Y"/>
    <n v="2"/>
    <n v="-2"/>
    <n v="0"/>
    <x v="21"/>
    <x v="1"/>
    <m/>
    <n v="0"/>
    <n v="1"/>
    <n v="945"/>
    <n v="5"/>
    <x v="0"/>
    <x v="0"/>
    <n v="2"/>
    <n v="80"/>
    <n v="3"/>
    <n v="2"/>
    <x v="2"/>
    <n v="5021"/>
    <n v="10425"/>
    <n v="8"/>
    <n v="22"/>
    <n v="4"/>
    <n v="4"/>
    <n v="80"/>
    <n v="1"/>
    <n v="16"/>
    <n v="3"/>
    <n v="4"/>
    <n v="2"/>
    <n v="0"/>
    <n v="2"/>
  </r>
  <r>
    <s v="No"/>
    <s v="Travel_Rarely"/>
    <x v="2"/>
    <s v="Current Employees"/>
    <x v="1"/>
    <x v="0"/>
    <x v="80"/>
    <x v="80"/>
    <x v="1"/>
    <x v="2"/>
    <x v="1"/>
    <s v="Yes"/>
    <s v="Y"/>
    <n v="1"/>
    <n v="-2"/>
    <n v="0"/>
    <x v="7"/>
    <x v="1"/>
    <m/>
    <n v="0"/>
    <n v="1"/>
    <n v="852"/>
    <n v="1"/>
    <x v="1"/>
    <x v="0"/>
    <n v="4"/>
    <n v="55"/>
    <n v="2"/>
    <n v="2"/>
    <x v="1"/>
    <n v="5126"/>
    <n v="15998"/>
    <n v="1"/>
    <n v="12"/>
    <n v="3"/>
    <n v="3"/>
    <n v="80"/>
    <n v="2"/>
    <n v="10"/>
    <n v="2"/>
    <n v="10"/>
    <n v="8"/>
    <n v="3"/>
    <n v="0"/>
  </r>
  <r>
    <s v="No"/>
    <s v="Travel_Rarely"/>
    <x v="0"/>
    <s v="Current Employees"/>
    <x v="1"/>
    <x v="2"/>
    <x v="81"/>
    <x v="81"/>
    <x v="1"/>
    <x v="1"/>
    <x v="0"/>
    <s v="No"/>
    <s v="Y"/>
    <n v="3"/>
    <n v="-2"/>
    <n v="0"/>
    <x v="10"/>
    <x v="1"/>
    <m/>
    <n v="0"/>
    <n v="1"/>
    <n v="1214"/>
    <n v="1"/>
    <x v="3"/>
    <x v="0"/>
    <n v="2"/>
    <n v="30"/>
    <n v="2"/>
    <n v="1"/>
    <x v="2"/>
    <n v="2859"/>
    <n v="26278"/>
    <n v="1"/>
    <n v="18"/>
    <n v="3"/>
    <n v="1"/>
    <n v="80"/>
    <n v="0"/>
    <n v="6"/>
    <n v="3"/>
    <n v="6"/>
    <n v="4"/>
    <n v="0"/>
    <n v="4"/>
  </r>
  <r>
    <s v="No"/>
    <s v="Travel_Rarely"/>
    <x v="3"/>
    <s v="Current Employees"/>
    <x v="0"/>
    <x v="0"/>
    <x v="82"/>
    <x v="82"/>
    <x v="1"/>
    <x v="0"/>
    <x v="1"/>
    <s v="No"/>
    <s v="Y"/>
    <n v="4"/>
    <n v="-2"/>
    <n v="0"/>
    <x v="27"/>
    <x v="1"/>
    <m/>
    <n v="0"/>
    <n v="1"/>
    <n v="111"/>
    <n v="1"/>
    <x v="0"/>
    <x v="0"/>
    <n v="1"/>
    <n v="70"/>
    <n v="3"/>
    <n v="3"/>
    <x v="1"/>
    <n v="10239"/>
    <n v="18092"/>
    <n v="3"/>
    <n v="14"/>
    <n v="3"/>
    <n v="4"/>
    <n v="80"/>
    <n v="1"/>
    <n v="24"/>
    <n v="3"/>
    <n v="1"/>
    <n v="0"/>
    <n v="1"/>
    <n v="0"/>
  </r>
  <r>
    <s v="No"/>
    <s v="Non-Travel"/>
    <x v="0"/>
    <s v="Current Employees"/>
    <x v="1"/>
    <x v="2"/>
    <x v="83"/>
    <x v="83"/>
    <x v="0"/>
    <x v="1"/>
    <x v="2"/>
    <s v="Yes"/>
    <s v="Y"/>
    <n v="3"/>
    <n v="-2"/>
    <n v="0"/>
    <x v="8"/>
    <x v="1"/>
    <m/>
    <n v="0"/>
    <n v="1"/>
    <n v="573"/>
    <n v="6"/>
    <x v="3"/>
    <x v="0"/>
    <n v="2"/>
    <n v="79"/>
    <n v="1"/>
    <n v="2"/>
    <x v="0"/>
    <n v="5329"/>
    <n v="15717"/>
    <n v="7"/>
    <n v="12"/>
    <n v="3"/>
    <n v="4"/>
    <n v="80"/>
    <n v="3"/>
    <n v="17"/>
    <n v="3"/>
    <n v="13"/>
    <n v="11"/>
    <n v="1"/>
    <n v="9"/>
  </r>
  <r>
    <s v="No"/>
    <s v="Travel_Rarely"/>
    <x v="2"/>
    <s v="Current Employees"/>
    <x v="1"/>
    <x v="2"/>
    <x v="84"/>
    <x v="84"/>
    <x v="1"/>
    <x v="3"/>
    <x v="1"/>
    <s v="No"/>
    <s v="Y"/>
    <n v="2"/>
    <n v="-2"/>
    <n v="0"/>
    <x v="13"/>
    <x v="1"/>
    <m/>
    <n v="0"/>
    <n v="1"/>
    <n v="1153"/>
    <n v="1"/>
    <x v="0"/>
    <x v="0"/>
    <n v="1"/>
    <n v="94"/>
    <n v="3"/>
    <n v="2"/>
    <x v="2"/>
    <n v="4325"/>
    <n v="17736"/>
    <n v="1"/>
    <n v="15"/>
    <n v="3"/>
    <n v="3"/>
    <n v="80"/>
    <n v="0"/>
    <n v="5"/>
    <n v="3"/>
    <n v="5"/>
    <n v="2"/>
    <n v="1"/>
    <n v="3"/>
  </r>
  <r>
    <s v="No"/>
    <s v="Travel_Rarely"/>
    <x v="3"/>
    <s v="Current Employees"/>
    <x v="1"/>
    <x v="0"/>
    <x v="85"/>
    <x v="85"/>
    <x v="1"/>
    <x v="3"/>
    <x v="0"/>
    <s v="No"/>
    <s v="Y"/>
    <n v="3"/>
    <n v="-2"/>
    <n v="0"/>
    <x v="29"/>
    <x v="1"/>
    <m/>
    <n v="0"/>
    <n v="1"/>
    <n v="1400"/>
    <n v="7"/>
    <x v="3"/>
    <x v="0"/>
    <n v="4"/>
    <n v="49"/>
    <n v="1"/>
    <n v="3"/>
    <x v="1"/>
    <n v="7260"/>
    <n v="21698"/>
    <n v="4"/>
    <n v="11"/>
    <n v="3"/>
    <n v="1"/>
    <n v="80"/>
    <n v="0"/>
    <n v="37"/>
    <n v="2"/>
    <n v="6"/>
    <n v="4"/>
    <n v="0"/>
    <n v="2"/>
  </r>
  <r>
    <s v="No"/>
    <s v="Travel_Rarely"/>
    <x v="4"/>
    <s v="Current Employees"/>
    <x v="0"/>
    <x v="4"/>
    <x v="86"/>
    <x v="86"/>
    <x v="1"/>
    <x v="6"/>
    <x v="2"/>
    <s v="No"/>
    <s v="Y"/>
    <n v="3"/>
    <n v="-2"/>
    <n v="0"/>
    <x v="30"/>
    <x v="1"/>
    <m/>
    <n v="0"/>
    <n v="1"/>
    <n v="541"/>
    <n v="2"/>
    <x v="1"/>
    <x v="0"/>
    <n v="3"/>
    <n v="62"/>
    <n v="3"/>
    <n v="1"/>
    <x v="0"/>
    <n v="2322"/>
    <n v="9518"/>
    <n v="3"/>
    <n v="13"/>
    <n v="3"/>
    <n v="3"/>
    <n v="80"/>
    <n v="1"/>
    <n v="3"/>
    <n v="3"/>
    <n v="0"/>
    <n v="0"/>
    <n v="0"/>
    <n v="0"/>
  </r>
  <r>
    <s v="No"/>
    <s v="Travel_Rarely"/>
    <x v="1"/>
    <s v="Current Employees"/>
    <x v="1"/>
    <x v="0"/>
    <x v="87"/>
    <x v="87"/>
    <x v="1"/>
    <x v="2"/>
    <x v="1"/>
    <s v="No"/>
    <s v="Y"/>
    <n v="4"/>
    <n v="-2"/>
    <n v="0"/>
    <x v="31"/>
    <x v="1"/>
    <m/>
    <n v="0"/>
    <n v="1"/>
    <n v="432"/>
    <n v="9"/>
    <x v="2"/>
    <x v="0"/>
    <n v="4"/>
    <n v="96"/>
    <n v="3"/>
    <n v="1"/>
    <x v="1"/>
    <n v="2075"/>
    <n v="18725"/>
    <n v="3"/>
    <n v="23"/>
    <n v="4"/>
    <n v="2"/>
    <n v="80"/>
    <n v="2"/>
    <n v="10"/>
    <n v="3"/>
    <n v="4"/>
    <n v="2"/>
    <n v="0"/>
    <n v="3"/>
  </r>
  <r>
    <s v="No"/>
    <s v="Travel_Rarely"/>
    <x v="2"/>
    <s v="Current Employees"/>
    <x v="1"/>
    <x v="0"/>
    <x v="88"/>
    <x v="88"/>
    <x v="1"/>
    <x v="4"/>
    <x v="1"/>
    <s v="No"/>
    <s v="Y"/>
    <n v="3"/>
    <n v="-2"/>
    <n v="0"/>
    <x v="7"/>
    <x v="1"/>
    <m/>
    <n v="0"/>
    <n v="1"/>
    <n v="288"/>
    <n v="2"/>
    <x v="3"/>
    <x v="0"/>
    <n v="3"/>
    <n v="99"/>
    <n v="2"/>
    <n v="2"/>
    <x v="1"/>
    <n v="4152"/>
    <n v="15830"/>
    <n v="1"/>
    <n v="19"/>
    <n v="3"/>
    <n v="1"/>
    <n v="80"/>
    <n v="3"/>
    <n v="11"/>
    <n v="3"/>
    <n v="11"/>
    <n v="10"/>
    <n v="10"/>
    <n v="8"/>
  </r>
  <r>
    <s v="Yes"/>
    <s v="Travel_Rarely"/>
    <x v="1"/>
    <s v="Ex-Employees"/>
    <x v="0"/>
    <x v="2"/>
    <x v="89"/>
    <x v="89"/>
    <x v="1"/>
    <x v="0"/>
    <x v="0"/>
    <s v="No"/>
    <s v="Y"/>
    <n v="3"/>
    <n v="-2"/>
    <n v="0"/>
    <x v="21"/>
    <x v="0"/>
    <n v="1"/>
    <n v="1"/>
    <n v="0"/>
    <n v="669"/>
    <n v="9"/>
    <x v="0"/>
    <x v="0"/>
    <n v="3"/>
    <n v="64"/>
    <n v="2"/>
    <n v="3"/>
    <x v="0"/>
    <n v="9619"/>
    <n v="13596"/>
    <n v="1"/>
    <n v="16"/>
    <n v="3"/>
    <n v="4"/>
    <n v="80"/>
    <n v="0"/>
    <n v="9"/>
    <n v="3"/>
    <n v="9"/>
    <n v="8"/>
    <n v="4"/>
    <n v="7"/>
  </r>
  <r>
    <s v="No"/>
    <s v="Travel_Frequently"/>
    <x v="0"/>
    <s v="Current Employees"/>
    <x v="1"/>
    <x v="0"/>
    <x v="90"/>
    <x v="90"/>
    <x v="1"/>
    <x v="4"/>
    <x v="1"/>
    <s v="No"/>
    <s v="Y"/>
    <n v="3"/>
    <n v="-2"/>
    <n v="0"/>
    <x v="32"/>
    <x v="1"/>
    <m/>
    <n v="0"/>
    <n v="1"/>
    <n v="530"/>
    <n v="1"/>
    <x v="2"/>
    <x v="0"/>
    <n v="3"/>
    <n v="78"/>
    <n v="2"/>
    <n v="4"/>
    <x v="1"/>
    <n v="13503"/>
    <n v="14115"/>
    <n v="1"/>
    <n v="22"/>
    <n v="4"/>
    <n v="4"/>
    <n v="80"/>
    <n v="1"/>
    <n v="22"/>
    <n v="2"/>
    <n v="22"/>
    <n v="3"/>
    <n v="11"/>
    <n v="11"/>
  </r>
  <r>
    <s v="No"/>
    <s v="Travel_Rarely"/>
    <x v="1"/>
    <s v="Current Employees"/>
    <x v="0"/>
    <x v="3"/>
    <x v="91"/>
    <x v="91"/>
    <x v="1"/>
    <x v="0"/>
    <x v="0"/>
    <s v="Yes"/>
    <s v="Y"/>
    <n v="2"/>
    <n v="-2"/>
    <n v="0"/>
    <x v="31"/>
    <x v="1"/>
    <m/>
    <n v="0"/>
    <n v="1"/>
    <n v="632"/>
    <n v="21"/>
    <x v="2"/>
    <x v="0"/>
    <n v="3"/>
    <n v="71"/>
    <n v="3"/>
    <n v="2"/>
    <x v="0"/>
    <n v="5441"/>
    <n v="8423"/>
    <n v="0"/>
    <n v="22"/>
    <n v="4"/>
    <n v="4"/>
    <n v="80"/>
    <n v="0"/>
    <n v="11"/>
    <n v="1"/>
    <n v="10"/>
    <n v="7"/>
    <n v="1"/>
    <n v="0"/>
  </r>
  <r>
    <s v="No"/>
    <s v="Travel_Rarely"/>
    <x v="2"/>
    <s v="Current Employees"/>
    <x v="0"/>
    <x v="2"/>
    <x v="92"/>
    <x v="92"/>
    <x v="0"/>
    <x v="0"/>
    <x v="2"/>
    <s v="Yes"/>
    <s v="Y"/>
    <n v="4"/>
    <n v="-2"/>
    <n v="0"/>
    <x v="7"/>
    <x v="1"/>
    <m/>
    <n v="0"/>
    <n v="1"/>
    <n v="1334"/>
    <n v="4"/>
    <x v="0"/>
    <x v="0"/>
    <n v="3"/>
    <n v="63"/>
    <n v="2"/>
    <n v="2"/>
    <x v="2"/>
    <n v="5209"/>
    <n v="19760"/>
    <n v="1"/>
    <n v="12"/>
    <n v="3"/>
    <n v="2"/>
    <n v="80"/>
    <n v="3"/>
    <n v="11"/>
    <n v="2"/>
    <n v="11"/>
    <n v="8"/>
    <n v="2"/>
    <n v="7"/>
  </r>
  <r>
    <s v="No"/>
    <s v="Travel_Frequently"/>
    <x v="1"/>
    <s v="Current Employees"/>
    <x v="1"/>
    <x v="2"/>
    <x v="93"/>
    <x v="93"/>
    <x v="1"/>
    <x v="4"/>
    <x v="1"/>
    <s v="Yes"/>
    <s v="Y"/>
    <n v="5"/>
    <n v="-2"/>
    <n v="0"/>
    <x v="21"/>
    <x v="1"/>
    <m/>
    <n v="0"/>
    <n v="1"/>
    <n v="638"/>
    <n v="1"/>
    <x v="3"/>
    <x v="0"/>
    <n v="3"/>
    <n v="40"/>
    <n v="2"/>
    <n v="3"/>
    <x v="0"/>
    <n v="10673"/>
    <n v="3142"/>
    <n v="2"/>
    <n v="13"/>
    <n v="3"/>
    <n v="3"/>
    <n v="80"/>
    <n v="1"/>
    <n v="21"/>
    <n v="2"/>
    <n v="10"/>
    <n v="9"/>
    <n v="9"/>
    <n v="5"/>
  </r>
  <r>
    <s v="No"/>
    <s v="Travel_Rarely"/>
    <x v="2"/>
    <s v="Current Employees"/>
    <x v="0"/>
    <x v="2"/>
    <x v="94"/>
    <x v="94"/>
    <x v="1"/>
    <x v="0"/>
    <x v="0"/>
    <s v="No"/>
    <s v="Y"/>
    <n v="0"/>
    <n v="-2"/>
    <n v="0"/>
    <x v="5"/>
    <x v="1"/>
    <m/>
    <n v="0"/>
    <n v="1"/>
    <n v="1093"/>
    <n v="6"/>
    <x v="2"/>
    <x v="0"/>
    <n v="2"/>
    <n v="87"/>
    <n v="3"/>
    <n v="2"/>
    <x v="2"/>
    <n v="5010"/>
    <n v="24301"/>
    <n v="1"/>
    <n v="16"/>
    <n v="3"/>
    <n v="1"/>
    <n v="80"/>
    <n v="0"/>
    <n v="12"/>
    <n v="3"/>
    <n v="11"/>
    <n v="8"/>
    <n v="5"/>
    <n v="7"/>
  </r>
  <r>
    <s v="No"/>
    <s v="Travel_Rarely"/>
    <x v="1"/>
    <s v="Current Employees"/>
    <x v="1"/>
    <x v="4"/>
    <x v="95"/>
    <x v="95"/>
    <x v="0"/>
    <x v="7"/>
    <x v="1"/>
    <s v="No"/>
    <s v="Y"/>
    <n v="5"/>
    <n v="-2"/>
    <n v="0"/>
    <x v="33"/>
    <x v="1"/>
    <m/>
    <n v="0"/>
    <n v="1"/>
    <n v="1217"/>
    <n v="2"/>
    <x v="2"/>
    <x v="0"/>
    <n v="1"/>
    <n v="60"/>
    <n v="3"/>
    <n v="3"/>
    <x v="2"/>
    <n v="13549"/>
    <n v="24001"/>
    <n v="9"/>
    <n v="12"/>
    <n v="3"/>
    <n v="1"/>
    <n v="80"/>
    <n v="1"/>
    <n v="16"/>
    <n v="1"/>
    <n v="4"/>
    <n v="3"/>
    <n v="0"/>
    <n v="3"/>
  </r>
  <r>
    <s v="No"/>
    <s v="Travel_Rarely"/>
    <x v="4"/>
    <s v="Current Employees"/>
    <x v="0"/>
    <x v="1"/>
    <x v="96"/>
    <x v="96"/>
    <x v="0"/>
    <x v="0"/>
    <x v="1"/>
    <s v="No"/>
    <s v="Y"/>
    <n v="2"/>
    <n v="-2"/>
    <n v="0"/>
    <x v="17"/>
    <x v="1"/>
    <m/>
    <n v="0"/>
    <n v="1"/>
    <n v="1353"/>
    <n v="3"/>
    <x v="0"/>
    <x v="0"/>
    <n v="1"/>
    <n v="33"/>
    <n v="3"/>
    <n v="2"/>
    <x v="2"/>
    <n v="4999"/>
    <n v="17519"/>
    <n v="0"/>
    <n v="21"/>
    <n v="4"/>
    <n v="1"/>
    <n v="80"/>
    <n v="1"/>
    <n v="4"/>
    <n v="2"/>
    <n v="3"/>
    <n v="2"/>
    <n v="0"/>
    <n v="2"/>
  </r>
  <r>
    <s v="No"/>
    <s v="Non-Travel"/>
    <x v="2"/>
    <s v="Current Employees"/>
    <x v="0"/>
    <x v="2"/>
    <x v="97"/>
    <x v="97"/>
    <x v="1"/>
    <x v="0"/>
    <x v="1"/>
    <s v="No"/>
    <s v="Y"/>
    <n v="3"/>
    <n v="-2"/>
    <n v="0"/>
    <x v="14"/>
    <x v="1"/>
    <m/>
    <n v="0"/>
    <n v="1"/>
    <n v="120"/>
    <n v="4"/>
    <x v="3"/>
    <x v="0"/>
    <n v="2"/>
    <n v="43"/>
    <n v="3"/>
    <n v="2"/>
    <x v="2"/>
    <n v="4221"/>
    <n v="8863"/>
    <n v="1"/>
    <n v="15"/>
    <n v="3"/>
    <n v="2"/>
    <n v="80"/>
    <n v="0"/>
    <n v="5"/>
    <n v="4"/>
    <n v="5"/>
    <n v="4"/>
    <n v="0"/>
    <n v="4"/>
  </r>
  <r>
    <s v="No"/>
    <s v="Travel_Rarely"/>
    <x v="3"/>
    <s v="Current Employees"/>
    <x v="0"/>
    <x v="2"/>
    <x v="98"/>
    <x v="98"/>
    <x v="1"/>
    <x v="0"/>
    <x v="0"/>
    <s v="No"/>
    <s v="Y"/>
    <n v="1"/>
    <n v="-2"/>
    <n v="0"/>
    <x v="34"/>
    <x v="1"/>
    <m/>
    <n v="0"/>
    <n v="1"/>
    <n v="682"/>
    <n v="10"/>
    <x v="2"/>
    <x v="0"/>
    <n v="4"/>
    <n v="37"/>
    <n v="3"/>
    <n v="4"/>
    <x v="2"/>
    <n v="13872"/>
    <n v="24409"/>
    <n v="0"/>
    <n v="13"/>
    <n v="3"/>
    <n v="3"/>
    <n v="80"/>
    <n v="0"/>
    <n v="38"/>
    <n v="2"/>
    <n v="37"/>
    <n v="10"/>
    <n v="1"/>
    <n v="8"/>
  </r>
  <r>
    <s v="No"/>
    <s v="Non-Travel"/>
    <x v="0"/>
    <s v="Current Employees"/>
    <x v="1"/>
    <x v="2"/>
    <x v="99"/>
    <x v="99"/>
    <x v="1"/>
    <x v="2"/>
    <x v="1"/>
    <s v="No"/>
    <s v="Y"/>
    <n v="3"/>
    <n v="-2"/>
    <n v="0"/>
    <x v="20"/>
    <x v="1"/>
    <m/>
    <n v="0"/>
    <n v="1"/>
    <n v="489"/>
    <n v="23"/>
    <x v="3"/>
    <x v="0"/>
    <n v="2"/>
    <n v="67"/>
    <n v="3"/>
    <n v="2"/>
    <x v="2"/>
    <n v="2042"/>
    <n v="25043"/>
    <n v="4"/>
    <n v="12"/>
    <n v="3"/>
    <n v="3"/>
    <n v="80"/>
    <n v="1"/>
    <n v="17"/>
    <n v="4"/>
    <n v="3"/>
    <n v="2"/>
    <n v="1"/>
    <n v="2"/>
  </r>
  <r>
    <s v="Yes"/>
    <s v="Travel_Rarely"/>
    <x v="0"/>
    <s v="Ex-Employees"/>
    <x v="2"/>
    <x v="5"/>
    <x v="100"/>
    <x v="100"/>
    <x v="1"/>
    <x v="8"/>
    <x v="2"/>
    <s v="Yes"/>
    <s v="Y"/>
    <n v="3"/>
    <n v="-2"/>
    <n v="0"/>
    <x v="2"/>
    <x v="0"/>
    <n v="1"/>
    <n v="1"/>
    <n v="0"/>
    <n v="807"/>
    <n v="6"/>
    <x v="2"/>
    <x v="0"/>
    <n v="3"/>
    <n v="63"/>
    <n v="3"/>
    <n v="1"/>
    <x v="0"/>
    <n v="2073"/>
    <n v="23648"/>
    <n v="4"/>
    <n v="22"/>
    <n v="4"/>
    <n v="4"/>
    <n v="80"/>
    <n v="0"/>
    <n v="7"/>
    <n v="3"/>
    <n v="3"/>
    <n v="2"/>
    <n v="0"/>
    <n v="2"/>
  </r>
  <r>
    <s v="No"/>
    <s v="Travel_Rarely"/>
    <x v="2"/>
    <s v="Current Employees"/>
    <x v="1"/>
    <x v="0"/>
    <x v="101"/>
    <x v="101"/>
    <x v="1"/>
    <x v="1"/>
    <x v="0"/>
    <s v="No"/>
    <s v="Y"/>
    <n v="2"/>
    <n v="-2"/>
    <n v="0"/>
    <x v="5"/>
    <x v="1"/>
    <m/>
    <n v="0"/>
    <n v="1"/>
    <n v="827"/>
    <n v="1"/>
    <x v="1"/>
    <x v="0"/>
    <n v="4"/>
    <n v="71"/>
    <n v="3"/>
    <n v="1"/>
    <x v="1"/>
    <n v="2956"/>
    <n v="15178"/>
    <n v="1"/>
    <n v="13"/>
    <n v="3"/>
    <n v="4"/>
    <n v="80"/>
    <n v="0"/>
    <n v="1"/>
    <n v="3"/>
    <n v="1"/>
    <n v="0"/>
    <n v="0"/>
    <n v="0"/>
  </r>
  <r>
    <s v="Yes"/>
    <s v="Travel_Frequently"/>
    <x v="4"/>
    <s v="Ex-Employees"/>
    <x v="1"/>
    <x v="0"/>
    <x v="102"/>
    <x v="102"/>
    <x v="0"/>
    <x v="2"/>
    <x v="0"/>
    <s v="Yes"/>
    <s v="Y"/>
    <n v="5"/>
    <n v="-2"/>
    <n v="0"/>
    <x v="35"/>
    <x v="0"/>
    <n v="1"/>
    <n v="1"/>
    <n v="0"/>
    <n v="871"/>
    <n v="6"/>
    <x v="3"/>
    <x v="0"/>
    <n v="4"/>
    <n v="66"/>
    <n v="2"/>
    <n v="1"/>
    <x v="1"/>
    <n v="2926"/>
    <n v="19783"/>
    <n v="1"/>
    <n v="18"/>
    <n v="3"/>
    <n v="2"/>
    <n v="80"/>
    <n v="0"/>
    <n v="1"/>
    <n v="3"/>
    <n v="1"/>
    <n v="0"/>
    <n v="1"/>
    <n v="0"/>
  </r>
  <r>
    <s v="No"/>
    <s v="Travel_Rarely"/>
    <x v="2"/>
    <s v="Current Employees"/>
    <x v="1"/>
    <x v="1"/>
    <x v="103"/>
    <x v="103"/>
    <x v="0"/>
    <x v="1"/>
    <x v="0"/>
    <s v="No"/>
    <s v="Y"/>
    <n v="3"/>
    <n v="-2"/>
    <n v="0"/>
    <x v="13"/>
    <x v="1"/>
    <m/>
    <n v="0"/>
    <n v="1"/>
    <n v="665"/>
    <n v="6"/>
    <x v="2"/>
    <x v="0"/>
    <n v="1"/>
    <n v="41"/>
    <n v="3"/>
    <n v="2"/>
    <x v="2"/>
    <n v="4809"/>
    <n v="12482"/>
    <n v="1"/>
    <n v="14"/>
    <n v="3"/>
    <n v="3"/>
    <n v="80"/>
    <n v="0"/>
    <n v="16"/>
    <n v="3"/>
    <n v="16"/>
    <n v="13"/>
    <n v="2"/>
    <n v="10"/>
  </r>
  <r>
    <s v="No"/>
    <s v="Non-Travel"/>
    <x v="0"/>
    <s v="Current Employees"/>
    <x v="1"/>
    <x v="0"/>
    <x v="104"/>
    <x v="104"/>
    <x v="1"/>
    <x v="4"/>
    <x v="2"/>
    <s v="No"/>
    <s v="Y"/>
    <n v="2"/>
    <n v="-2"/>
    <n v="0"/>
    <x v="2"/>
    <x v="1"/>
    <m/>
    <n v="0"/>
    <n v="1"/>
    <n v="1040"/>
    <n v="2"/>
    <x v="0"/>
    <x v="0"/>
    <n v="3"/>
    <n v="100"/>
    <n v="2"/>
    <n v="2"/>
    <x v="1"/>
    <n v="5163"/>
    <n v="15850"/>
    <n v="5"/>
    <n v="14"/>
    <n v="3"/>
    <n v="4"/>
    <n v="80"/>
    <n v="1"/>
    <n v="17"/>
    <n v="4"/>
    <n v="1"/>
    <n v="0"/>
    <n v="0"/>
    <n v="0"/>
  </r>
  <r>
    <s v="No"/>
    <s v="Non-Travel"/>
    <x v="3"/>
    <s v="Current Employees"/>
    <x v="2"/>
    <x v="5"/>
    <x v="105"/>
    <x v="105"/>
    <x v="0"/>
    <x v="5"/>
    <x v="1"/>
    <s v="No"/>
    <s v="Y"/>
    <n v="3"/>
    <n v="-2"/>
    <n v="0"/>
    <x v="6"/>
    <x v="1"/>
    <m/>
    <n v="0"/>
    <n v="1"/>
    <n v="1420"/>
    <n v="2"/>
    <x v="2"/>
    <x v="0"/>
    <n v="3"/>
    <n v="32"/>
    <n v="2"/>
    <n v="5"/>
    <x v="0"/>
    <n v="18844"/>
    <n v="21922"/>
    <n v="9"/>
    <n v="21"/>
    <n v="4"/>
    <n v="4"/>
    <n v="80"/>
    <n v="1"/>
    <n v="30"/>
    <n v="3"/>
    <n v="3"/>
    <n v="2"/>
    <n v="2"/>
    <n v="2"/>
  </r>
  <r>
    <s v="No"/>
    <s v="Travel_Frequently"/>
    <x v="1"/>
    <s v="Current Employees"/>
    <x v="1"/>
    <x v="0"/>
    <x v="106"/>
    <x v="106"/>
    <x v="0"/>
    <x v="7"/>
    <x v="1"/>
    <s v="Yes"/>
    <s v="Y"/>
    <n v="1"/>
    <n v="-2"/>
    <n v="0"/>
    <x v="24"/>
    <x v="1"/>
    <m/>
    <n v="0"/>
    <n v="1"/>
    <n v="1115"/>
    <n v="1"/>
    <x v="3"/>
    <x v="0"/>
    <n v="1"/>
    <n v="73"/>
    <n v="3"/>
    <n v="5"/>
    <x v="1"/>
    <n v="18172"/>
    <n v="9755"/>
    <n v="3"/>
    <n v="19"/>
    <n v="3"/>
    <n v="1"/>
    <n v="80"/>
    <n v="0"/>
    <n v="28"/>
    <n v="2"/>
    <n v="8"/>
    <n v="3"/>
    <n v="0"/>
    <n v="7"/>
  </r>
  <r>
    <s v="Yes"/>
    <s v="Travel_Rarely"/>
    <x v="2"/>
    <s v="Ex-Employees"/>
    <x v="0"/>
    <x v="3"/>
    <x v="107"/>
    <x v="107"/>
    <x v="1"/>
    <x v="0"/>
    <x v="0"/>
    <s v="Yes"/>
    <s v="Y"/>
    <n v="1"/>
    <n v="-2"/>
    <n v="0"/>
    <x v="36"/>
    <x v="0"/>
    <n v="1"/>
    <n v="1"/>
    <n v="0"/>
    <n v="240"/>
    <n v="5"/>
    <x v="3"/>
    <x v="0"/>
    <n v="3"/>
    <n v="46"/>
    <n v="2"/>
    <n v="2"/>
    <x v="2"/>
    <n v="5744"/>
    <n v="26959"/>
    <n v="1"/>
    <n v="11"/>
    <n v="3"/>
    <n v="4"/>
    <n v="80"/>
    <n v="0"/>
    <n v="6"/>
    <n v="3"/>
    <n v="6"/>
    <n v="4"/>
    <n v="0"/>
    <n v="3"/>
  </r>
  <r>
    <s v="No"/>
    <s v="Travel_Rarely"/>
    <x v="2"/>
    <s v="Current Employees"/>
    <x v="1"/>
    <x v="2"/>
    <x v="108"/>
    <x v="108"/>
    <x v="1"/>
    <x v="1"/>
    <x v="1"/>
    <s v="No"/>
    <s v="Y"/>
    <n v="2"/>
    <n v="-2"/>
    <n v="0"/>
    <x v="36"/>
    <x v="1"/>
    <m/>
    <n v="0"/>
    <n v="1"/>
    <n v="1280"/>
    <n v="7"/>
    <x v="1"/>
    <x v="0"/>
    <n v="4"/>
    <n v="64"/>
    <n v="2"/>
    <n v="1"/>
    <x v="0"/>
    <n v="2889"/>
    <n v="26897"/>
    <n v="1"/>
    <n v="11"/>
    <n v="3"/>
    <n v="3"/>
    <n v="80"/>
    <n v="2"/>
    <n v="2"/>
    <n v="3"/>
    <n v="2"/>
    <n v="2"/>
    <n v="2"/>
    <n v="1"/>
  </r>
  <r>
    <s v="No"/>
    <s v="Travel_Rarely"/>
    <x v="4"/>
    <s v="Current Employees"/>
    <x v="1"/>
    <x v="2"/>
    <x v="109"/>
    <x v="109"/>
    <x v="0"/>
    <x v="2"/>
    <x v="0"/>
    <s v="No"/>
    <s v="Y"/>
    <n v="5"/>
    <n v="-2"/>
    <n v="0"/>
    <x v="15"/>
    <x v="1"/>
    <m/>
    <n v="0"/>
    <n v="1"/>
    <n v="534"/>
    <n v="15"/>
    <x v="3"/>
    <x v="0"/>
    <n v="2"/>
    <n v="59"/>
    <n v="3"/>
    <n v="1"/>
    <x v="0"/>
    <n v="2871"/>
    <n v="23785"/>
    <n v="1"/>
    <n v="15"/>
    <n v="3"/>
    <n v="3"/>
    <n v="80"/>
    <n v="0"/>
    <n v="1"/>
    <n v="3"/>
    <n v="0"/>
    <n v="0"/>
    <n v="0"/>
    <n v="0"/>
  </r>
  <r>
    <s v="No"/>
    <s v="Travel_Frequently"/>
    <x v="1"/>
    <s v="Current Employees"/>
    <x v="1"/>
    <x v="2"/>
    <x v="110"/>
    <x v="110"/>
    <x v="0"/>
    <x v="4"/>
    <x v="0"/>
    <s v="No"/>
    <s v="Y"/>
    <n v="1"/>
    <n v="-2"/>
    <n v="0"/>
    <x v="31"/>
    <x v="1"/>
    <m/>
    <n v="0"/>
    <n v="1"/>
    <n v="1456"/>
    <n v="1"/>
    <x v="2"/>
    <x v="0"/>
    <n v="1"/>
    <n v="30"/>
    <n v="2"/>
    <n v="3"/>
    <x v="0"/>
    <n v="7484"/>
    <n v="25796"/>
    <n v="3"/>
    <n v="20"/>
    <n v="4"/>
    <n v="3"/>
    <n v="80"/>
    <n v="0"/>
    <n v="23"/>
    <n v="2"/>
    <n v="13"/>
    <n v="12"/>
    <n v="12"/>
    <n v="8"/>
  </r>
  <r>
    <s v="Yes"/>
    <s v="Travel_Frequently"/>
    <x v="2"/>
    <s v="Ex-Employees"/>
    <x v="1"/>
    <x v="0"/>
    <x v="111"/>
    <x v="111"/>
    <x v="1"/>
    <x v="2"/>
    <x v="0"/>
    <s v="Yes"/>
    <s v="Y"/>
    <n v="3"/>
    <n v="-2"/>
    <n v="0"/>
    <x v="13"/>
    <x v="0"/>
    <n v="1"/>
    <n v="1"/>
    <n v="0"/>
    <n v="658"/>
    <n v="7"/>
    <x v="3"/>
    <x v="0"/>
    <n v="1"/>
    <n v="66"/>
    <n v="1"/>
    <n v="2"/>
    <x v="1"/>
    <n v="6074"/>
    <n v="22887"/>
    <n v="1"/>
    <n v="24"/>
    <n v="4"/>
    <n v="4"/>
    <n v="80"/>
    <n v="0"/>
    <n v="9"/>
    <n v="3"/>
    <n v="9"/>
    <n v="7"/>
    <n v="0"/>
    <n v="6"/>
  </r>
  <r>
    <s v="No"/>
    <s v="Non-Travel"/>
    <x v="1"/>
    <s v="Current Employees"/>
    <x v="2"/>
    <x v="5"/>
    <x v="112"/>
    <x v="112"/>
    <x v="0"/>
    <x v="5"/>
    <x v="0"/>
    <s v="Yes"/>
    <s v="Y"/>
    <n v="3"/>
    <n v="-2"/>
    <n v="0"/>
    <x v="33"/>
    <x v="1"/>
    <m/>
    <n v="0"/>
    <n v="1"/>
    <n v="142"/>
    <n v="26"/>
    <x v="3"/>
    <x v="0"/>
    <n v="4"/>
    <n v="30"/>
    <n v="4"/>
    <n v="4"/>
    <x v="0"/>
    <n v="17328"/>
    <n v="13871"/>
    <n v="2"/>
    <n v="12"/>
    <n v="3"/>
    <n v="3"/>
    <n v="80"/>
    <n v="0"/>
    <n v="23"/>
    <n v="3"/>
    <n v="5"/>
    <n v="3"/>
    <n v="4"/>
    <n v="4"/>
  </r>
  <r>
    <s v="No"/>
    <s v="Travel_Rarely"/>
    <x v="4"/>
    <s v="Current Employees"/>
    <x v="1"/>
    <x v="0"/>
    <x v="113"/>
    <x v="113"/>
    <x v="1"/>
    <x v="2"/>
    <x v="1"/>
    <s v="No"/>
    <s v="Y"/>
    <n v="2"/>
    <n v="-2"/>
    <n v="0"/>
    <x v="17"/>
    <x v="1"/>
    <m/>
    <n v="0"/>
    <n v="1"/>
    <n v="1127"/>
    <n v="18"/>
    <x v="1"/>
    <x v="0"/>
    <n v="2"/>
    <n v="52"/>
    <n v="3"/>
    <n v="1"/>
    <x v="1"/>
    <n v="2774"/>
    <n v="13257"/>
    <n v="0"/>
    <n v="12"/>
    <n v="3"/>
    <n v="3"/>
    <n v="80"/>
    <n v="1"/>
    <n v="6"/>
    <n v="3"/>
    <n v="5"/>
    <n v="3"/>
    <n v="1"/>
    <n v="2"/>
  </r>
  <r>
    <s v="No"/>
    <s v="Travel_Rarely"/>
    <x v="2"/>
    <s v="Current Employees"/>
    <x v="1"/>
    <x v="0"/>
    <x v="114"/>
    <x v="114"/>
    <x v="0"/>
    <x v="1"/>
    <x v="2"/>
    <s v="No"/>
    <s v="Y"/>
    <n v="3"/>
    <n v="-2"/>
    <n v="0"/>
    <x v="13"/>
    <x v="1"/>
    <m/>
    <n v="0"/>
    <n v="1"/>
    <n v="1031"/>
    <n v="6"/>
    <x v="2"/>
    <x v="0"/>
    <n v="3"/>
    <n v="45"/>
    <n v="2"/>
    <n v="2"/>
    <x v="1"/>
    <n v="4505"/>
    <n v="15000"/>
    <n v="6"/>
    <n v="15"/>
    <n v="3"/>
    <n v="3"/>
    <n v="80"/>
    <n v="1"/>
    <n v="12"/>
    <n v="3"/>
    <n v="1"/>
    <n v="0"/>
    <n v="0"/>
    <n v="0"/>
  </r>
  <r>
    <s v="No"/>
    <s v="Travel_Rarely"/>
    <x v="0"/>
    <s v="Current Employees"/>
    <x v="0"/>
    <x v="0"/>
    <x v="115"/>
    <x v="115"/>
    <x v="1"/>
    <x v="0"/>
    <x v="0"/>
    <s v="No"/>
    <s v="Y"/>
    <n v="3"/>
    <n v="-2"/>
    <n v="0"/>
    <x v="2"/>
    <x v="1"/>
    <m/>
    <n v="0"/>
    <n v="1"/>
    <n v="1189"/>
    <n v="3"/>
    <x v="3"/>
    <x v="0"/>
    <n v="3"/>
    <n v="87"/>
    <n v="3"/>
    <n v="3"/>
    <x v="1"/>
    <n v="7428"/>
    <n v="14506"/>
    <n v="2"/>
    <n v="12"/>
    <n v="3"/>
    <n v="1"/>
    <n v="80"/>
    <n v="0"/>
    <n v="12"/>
    <n v="3"/>
    <n v="5"/>
    <n v="3"/>
    <n v="1"/>
    <n v="3"/>
  </r>
  <r>
    <s v="No"/>
    <s v="Travel_Rarely"/>
    <x v="2"/>
    <s v="Current Employees"/>
    <x v="1"/>
    <x v="2"/>
    <x v="116"/>
    <x v="116"/>
    <x v="0"/>
    <x v="5"/>
    <x v="0"/>
    <s v="No"/>
    <s v="Y"/>
    <n v="6"/>
    <n v="-2"/>
    <n v="0"/>
    <x v="13"/>
    <x v="1"/>
    <m/>
    <n v="0"/>
    <n v="1"/>
    <n v="1354"/>
    <n v="5"/>
    <x v="3"/>
    <x v="0"/>
    <n v="3"/>
    <n v="45"/>
    <n v="2"/>
    <n v="3"/>
    <x v="0"/>
    <n v="11631"/>
    <n v="5615"/>
    <n v="2"/>
    <n v="12"/>
    <n v="3"/>
    <n v="4"/>
    <n v="80"/>
    <n v="0"/>
    <n v="14"/>
    <n v="3"/>
    <n v="11"/>
    <n v="10"/>
    <n v="5"/>
    <n v="8"/>
  </r>
  <r>
    <s v="No"/>
    <s v="Travel_Frequently"/>
    <x v="0"/>
    <s v="Current Employees"/>
    <x v="0"/>
    <x v="4"/>
    <x v="117"/>
    <x v="117"/>
    <x v="0"/>
    <x v="0"/>
    <x v="1"/>
    <s v="No"/>
    <s v="Y"/>
    <n v="6"/>
    <n v="-2"/>
    <n v="0"/>
    <x v="9"/>
    <x v="1"/>
    <m/>
    <n v="0"/>
    <n v="1"/>
    <n v="1467"/>
    <n v="11"/>
    <x v="0"/>
    <x v="0"/>
    <n v="2"/>
    <n v="92"/>
    <n v="3"/>
    <n v="3"/>
    <x v="0"/>
    <n v="9738"/>
    <n v="22952"/>
    <n v="0"/>
    <n v="14"/>
    <n v="3"/>
    <n v="3"/>
    <n v="80"/>
    <n v="1"/>
    <n v="10"/>
    <n v="3"/>
    <n v="9"/>
    <n v="7"/>
    <n v="2"/>
    <n v="8"/>
  </r>
  <r>
    <s v="No"/>
    <s v="Travel_Rarely"/>
    <x v="0"/>
    <s v="Current Employees"/>
    <x v="1"/>
    <x v="0"/>
    <x v="118"/>
    <x v="118"/>
    <x v="0"/>
    <x v="2"/>
    <x v="2"/>
    <s v="No"/>
    <s v="Y"/>
    <n v="2"/>
    <n v="-2"/>
    <n v="0"/>
    <x v="9"/>
    <x v="1"/>
    <m/>
    <n v="0"/>
    <n v="1"/>
    <n v="922"/>
    <n v="3"/>
    <x v="0"/>
    <x v="0"/>
    <n v="1"/>
    <n v="39"/>
    <n v="3"/>
    <n v="1"/>
    <x v="1"/>
    <n v="2835"/>
    <n v="2561"/>
    <n v="5"/>
    <n v="22"/>
    <n v="4"/>
    <n v="1"/>
    <n v="80"/>
    <n v="1"/>
    <n v="7"/>
    <n v="3"/>
    <n v="1"/>
    <n v="0"/>
    <n v="0"/>
    <n v="0"/>
  </r>
  <r>
    <s v="No"/>
    <s v="Travel_Frequently"/>
    <x v="0"/>
    <s v="Current Employees"/>
    <x v="0"/>
    <x v="0"/>
    <x v="119"/>
    <x v="119"/>
    <x v="1"/>
    <x v="5"/>
    <x v="1"/>
    <s v="Yes"/>
    <s v="Y"/>
    <n v="3"/>
    <n v="-2"/>
    <n v="0"/>
    <x v="23"/>
    <x v="1"/>
    <m/>
    <n v="0"/>
    <n v="1"/>
    <n v="394"/>
    <n v="26"/>
    <x v="0"/>
    <x v="0"/>
    <n v="3"/>
    <n v="92"/>
    <n v="3"/>
    <n v="4"/>
    <x v="1"/>
    <n v="16959"/>
    <n v="19494"/>
    <n v="1"/>
    <n v="12"/>
    <n v="3"/>
    <n v="4"/>
    <n v="80"/>
    <n v="2"/>
    <n v="25"/>
    <n v="4"/>
    <n v="25"/>
    <n v="12"/>
    <n v="4"/>
    <n v="12"/>
  </r>
  <r>
    <s v="No"/>
    <s v="Travel_Frequently"/>
    <x v="2"/>
    <s v="Current Employees"/>
    <x v="1"/>
    <x v="0"/>
    <x v="120"/>
    <x v="120"/>
    <x v="1"/>
    <x v="1"/>
    <x v="2"/>
    <s v="No"/>
    <s v="Y"/>
    <n v="2"/>
    <n v="-2"/>
    <n v="0"/>
    <x v="7"/>
    <x v="1"/>
    <m/>
    <n v="0"/>
    <n v="1"/>
    <n v="1312"/>
    <n v="23"/>
    <x v="3"/>
    <x v="0"/>
    <n v="1"/>
    <n v="96"/>
    <n v="1"/>
    <n v="1"/>
    <x v="1"/>
    <n v="2613"/>
    <n v="22310"/>
    <n v="1"/>
    <n v="25"/>
    <n v="4"/>
    <n v="3"/>
    <n v="80"/>
    <n v="3"/>
    <n v="10"/>
    <n v="2"/>
    <n v="10"/>
    <n v="7"/>
    <n v="0"/>
    <n v="9"/>
  </r>
  <r>
    <s v="No"/>
    <s v="Non-Travel"/>
    <x v="2"/>
    <s v="Current Employees"/>
    <x v="0"/>
    <x v="3"/>
    <x v="121"/>
    <x v="121"/>
    <x v="1"/>
    <x v="0"/>
    <x v="1"/>
    <s v="No"/>
    <s v="Y"/>
    <n v="2"/>
    <n v="-2"/>
    <n v="0"/>
    <x v="3"/>
    <x v="1"/>
    <m/>
    <n v="0"/>
    <n v="1"/>
    <n v="750"/>
    <n v="22"/>
    <x v="0"/>
    <x v="0"/>
    <n v="3"/>
    <n v="95"/>
    <n v="3"/>
    <n v="2"/>
    <x v="2"/>
    <n v="6146"/>
    <n v="15480"/>
    <n v="0"/>
    <n v="13"/>
    <n v="3"/>
    <n v="1"/>
    <n v="80"/>
    <n v="1"/>
    <n v="8"/>
    <n v="4"/>
    <n v="7"/>
    <n v="7"/>
    <n v="0"/>
    <n v="7"/>
  </r>
  <r>
    <s v="Yes"/>
    <s v="Travel_Rarely"/>
    <x v="3"/>
    <s v="Ex-Employees"/>
    <x v="1"/>
    <x v="0"/>
    <x v="122"/>
    <x v="122"/>
    <x v="0"/>
    <x v="1"/>
    <x v="1"/>
    <s v="Yes"/>
    <s v="Y"/>
    <n v="2"/>
    <n v="-2"/>
    <n v="0"/>
    <x v="29"/>
    <x v="0"/>
    <n v="1"/>
    <n v="1"/>
    <n v="0"/>
    <n v="441"/>
    <n v="14"/>
    <x v="2"/>
    <x v="0"/>
    <n v="2"/>
    <n v="72"/>
    <n v="3"/>
    <n v="1"/>
    <x v="1"/>
    <n v="4963"/>
    <n v="4510"/>
    <n v="9"/>
    <n v="18"/>
    <n v="3"/>
    <n v="1"/>
    <n v="80"/>
    <n v="3"/>
    <n v="7"/>
    <n v="3"/>
    <n v="5"/>
    <n v="4"/>
    <n v="4"/>
    <n v="3"/>
  </r>
  <r>
    <s v="No"/>
    <s v="Travel_Rarely"/>
    <x v="1"/>
    <s v="Current Employees"/>
    <x v="1"/>
    <x v="0"/>
    <x v="123"/>
    <x v="123"/>
    <x v="1"/>
    <x v="7"/>
    <x v="0"/>
    <s v="No"/>
    <s v="Y"/>
    <n v="5"/>
    <n v="-2"/>
    <n v="0"/>
    <x v="31"/>
    <x v="1"/>
    <m/>
    <n v="0"/>
    <n v="1"/>
    <n v="684"/>
    <n v="6"/>
    <x v="3"/>
    <x v="0"/>
    <n v="1"/>
    <n v="51"/>
    <n v="3"/>
    <n v="5"/>
    <x v="1"/>
    <n v="19537"/>
    <n v="6462"/>
    <n v="7"/>
    <n v="13"/>
    <n v="3"/>
    <n v="3"/>
    <n v="80"/>
    <n v="0"/>
    <n v="23"/>
    <n v="3"/>
    <n v="20"/>
    <n v="18"/>
    <n v="15"/>
    <n v="15"/>
  </r>
  <r>
    <s v="Yes"/>
    <s v="Travel_Rarely"/>
    <x v="2"/>
    <s v="Ex-Employees"/>
    <x v="0"/>
    <x v="0"/>
    <x v="124"/>
    <x v="124"/>
    <x v="1"/>
    <x v="0"/>
    <x v="1"/>
    <s v="Yes"/>
    <s v="Y"/>
    <n v="3"/>
    <n v="-2"/>
    <n v="0"/>
    <x v="12"/>
    <x v="0"/>
    <n v="1"/>
    <n v="1"/>
    <n v="0"/>
    <n v="249"/>
    <n v="6"/>
    <x v="2"/>
    <x v="0"/>
    <n v="2"/>
    <n v="76"/>
    <n v="1"/>
    <n v="2"/>
    <x v="1"/>
    <n v="6172"/>
    <n v="20739"/>
    <n v="4"/>
    <n v="18"/>
    <n v="3"/>
    <n v="2"/>
    <n v="80"/>
    <n v="0"/>
    <n v="12"/>
    <n v="2"/>
    <n v="7"/>
    <n v="7"/>
    <n v="7"/>
    <n v="7"/>
  </r>
  <r>
    <s v="No"/>
    <s v="Travel_Rarely"/>
    <x v="2"/>
    <s v="Current Employees"/>
    <x v="1"/>
    <x v="1"/>
    <x v="125"/>
    <x v="125"/>
    <x v="0"/>
    <x v="1"/>
    <x v="1"/>
    <s v="No"/>
    <s v="Y"/>
    <n v="3"/>
    <n v="-2"/>
    <n v="0"/>
    <x v="25"/>
    <x v="1"/>
    <m/>
    <n v="0"/>
    <n v="1"/>
    <n v="841"/>
    <n v="6"/>
    <x v="3"/>
    <x v="0"/>
    <n v="3"/>
    <n v="46"/>
    <n v="2"/>
    <n v="1"/>
    <x v="2"/>
    <n v="2368"/>
    <n v="23300"/>
    <n v="1"/>
    <n v="19"/>
    <n v="3"/>
    <n v="3"/>
    <n v="80"/>
    <n v="0"/>
    <n v="5"/>
    <n v="2"/>
    <n v="5"/>
    <n v="4"/>
    <n v="4"/>
    <n v="3"/>
  </r>
  <r>
    <s v="Yes"/>
    <s v="Travel_Rarely"/>
    <x v="3"/>
    <s v="Ex-Employees"/>
    <x v="1"/>
    <x v="2"/>
    <x v="126"/>
    <x v="126"/>
    <x v="0"/>
    <x v="4"/>
    <x v="1"/>
    <s v="No"/>
    <s v="Y"/>
    <n v="3"/>
    <n v="-2"/>
    <n v="0"/>
    <x v="34"/>
    <x v="0"/>
    <n v="1"/>
    <n v="1"/>
    <n v="0"/>
    <n v="147"/>
    <n v="23"/>
    <x v="2"/>
    <x v="0"/>
    <n v="4"/>
    <n v="94"/>
    <n v="3"/>
    <n v="3"/>
    <x v="0"/>
    <n v="10312"/>
    <n v="3465"/>
    <n v="1"/>
    <n v="12"/>
    <n v="3"/>
    <n v="4"/>
    <n v="80"/>
    <n v="1"/>
    <n v="40"/>
    <n v="2"/>
    <n v="40"/>
    <n v="10"/>
    <n v="15"/>
    <n v="6"/>
  </r>
  <r>
    <s v="Yes"/>
    <s v="Travel_Rarely"/>
    <x v="4"/>
    <s v="Ex-Employees"/>
    <x v="0"/>
    <x v="3"/>
    <x v="127"/>
    <x v="127"/>
    <x v="1"/>
    <x v="6"/>
    <x v="0"/>
    <s v="Yes"/>
    <s v="Y"/>
    <n v="2"/>
    <n v="-2"/>
    <n v="0"/>
    <x v="37"/>
    <x v="0"/>
    <n v="1"/>
    <n v="1"/>
    <n v="0"/>
    <n v="528"/>
    <n v="22"/>
    <x v="1"/>
    <x v="0"/>
    <n v="4"/>
    <n v="50"/>
    <n v="3"/>
    <n v="1"/>
    <x v="2"/>
    <n v="1675"/>
    <n v="26820"/>
    <n v="1"/>
    <n v="19"/>
    <n v="3"/>
    <n v="4"/>
    <n v="80"/>
    <n v="0"/>
    <n v="0"/>
    <n v="2"/>
    <n v="0"/>
    <n v="0"/>
    <n v="0"/>
    <n v="0"/>
  </r>
  <r>
    <s v="No"/>
    <s v="Travel_Rarely"/>
    <x v="4"/>
    <s v="Current Employees"/>
    <x v="1"/>
    <x v="4"/>
    <x v="128"/>
    <x v="128"/>
    <x v="1"/>
    <x v="2"/>
    <x v="1"/>
    <s v="No"/>
    <s v="Y"/>
    <n v="2"/>
    <n v="-2"/>
    <n v="0"/>
    <x v="15"/>
    <x v="1"/>
    <m/>
    <n v="0"/>
    <n v="1"/>
    <n v="594"/>
    <n v="2"/>
    <x v="1"/>
    <x v="0"/>
    <n v="3"/>
    <n v="100"/>
    <n v="3"/>
    <n v="1"/>
    <x v="0"/>
    <n v="2523"/>
    <n v="19299"/>
    <n v="0"/>
    <n v="14"/>
    <n v="3"/>
    <n v="3"/>
    <n v="80"/>
    <n v="1"/>
    <n v="3"/>
    <n v="3"/>
    <n v="2"/>
    <n v="1"/>
    <n v="2"/>
    <n v="1"/>
  </r>
  <r>
    <s v="No"/>
    <s v="Travel_Rarely"/>
    <x v="1"/>
    <s v="Current Employees"/>
    <x v="1"/>
    <x v="2"/>
    <x v="129"/>
    <x v="129"/>
    <x v="0"/>
    <x v="3"/>
    <x v="1"/>
    <s v="No"/>
    <s v="Y"/>
    <n v="2"/>
    <n v="-2"/>
    <n v="0"/>
    <x v="1"/>
    <x v="1"/>
    <m/>
    <n v="0"/>
    <n v="1"/>
    <n v="470"/>
    <n v="20"/>
    <x v="2"/>
    <x v="0"/>
    <n v="3"/>
    <n v="96"/>
    <n v="3"/>
    <n v="2"/>
    <x v="3"/>
    <n v="6567"/>
    <n v="5549"/>
    <n v="1"/>
    <n v="14"/>
    <n v="3"/>
    <n v="3"/>
    <n v="80"/>
    <n v="0"/>
    <n v="16"/>
    <n v="2"/>
    <n v="15"/>
    <n v="11"/>
    <n v="5"/>
    <n v="11"/>
  </r>
  <r>
    <s v="No"/>
    <s v="Travel_Frequently"/>
    <x v="0"/>
    <s v="Current Employees"/>
    <x v="1"/>
    <x v="2"/>
    <x v="130"/>
    <x v="130"/>
    <x v="0"/>
    <x v="1"/>
    <x v="0"/>
    <s v="No"/>
    <s v="Y"/>
    <n v="2"/>
    <n v="-2"/>
    <n v="0"/>
    <x v="23"/>
    <x v="1"/>
    <m/>
    <n v="0"/>
    <n v="1"/>
    <n v="957"/>
    <n v="28"/>
    <x v="3"/>
    <x v="0"/>
    <n v="2"/>
    <n v="72"/>
    <n v="4"/>
    <n v="1"/>
    <x v="2"/>
    <n v="4739"/>
    <n v="16090"/>
    <n v="4"/>
    <n v="12"/>
    <n v="3"/>
    <n v="4"/>
    <n v="80"/>
    <n v="0"/>
    <n v="18"/>
    <n v="3"/>
    <n v="3"/>
    <n v="2"/>
    <n v="1"/>
    <n v="2"/>
  </r>
  <r>
    <s v="No"/>
    <s v="Travel_Frequently"/>
    <x v="1"/>
    <s v="Current Employees"/>
    <x v="0"/>
    <x v="3"/>
    <x v="131"/>
    <x v="131"/>
    <x v="0"/>
    <x v="0"/>
    <x v="0"/>
    <s v="No"/>
    <s v="Y"/>
    <n v="3"/>
    <n v="-2"/>
    <n v="0"/>
    <x v="24"/>
    <x v="1"/>
    <m/>
    <n v="0"/>
    <n v="1"/>
    <n v="809"/>
    <n v="12"/>
    <x v="3"/>
    <x v="0"/>
    <n v="3"/>
    <n v="77"/>
    <n v="3"/>
    <n v="3"/>
    <x v="0"/>
    <n v="9208"/>
    <n v="6645"/>
    <n v="4"/>
    <n v="11"/>
    <n v="3"/>
    <n v="4"/>
    <n v="80"/>
    <n v="0"/>
    <n v="16"/>
    <n v="3"/>
    <n v="2"/>
    <n v="2"/>
    <n v="2"/>
    <n v="1"/>
  </r>
  <r>
    <s v="Yes"/>
    <s v="Travel_Rarely"/>
    <x v="2"/>
    <s v="Ex-Employees"/>
    <x v="0"/>
    <x v="0"/>
    <x v="132"/>
    <x v="132"/>
    <x v="0"/>
    <x v="0"/>
    <x v="1"/>
    <s v="Yes"/>
    <s v="Y"/>
    <n v="2"/>
    <n v="-2"/>
    <n v="0"/>
    <x v="12"/>
    <x v="0"/>
    <n v="1"/>
    <n v="1"/>
    <n v="0"/>
    <n v="542"/>
    <n v="20"/>
    <x v="3"/>
    <x v="0"/>
    <n v="2"/>
    <n v="71"/>
    <n v="1"/>
    <n v="2"/>
    <x v="1"/>
    <n v="4559"/>
    <n v="24788"/>
    <n v="3"/>
    <n v="11"/>
    <n v="3"/>
    <n v="3"/>
    <n v="80"/>
    <n v="1"/>
    <n v="4"/>
    <n v="3"/>
    <n v="2"/>
    <n v="2"/>
    <n v="2"/>
    <n v="2"/>
  </r>
  <r>
    <s v="No"/>
    <s v="Travel_Rarely"/>
    <x v="0"/>
    <s v="Current Employees"/>
    <x v="0"/>
    <x v="0"/>
    <x v="133"/>
    <x v="133"/>
    <x v="1"/>
    <x v="0"/>
    <x v="2"/>
    <s v="Yes"/>
    <s v="Y"/>
    <n v="2"/>
    <n v="-2"/>
    <n v="0"/>
    <x v="0"/>
    <x v="1"/>
    <m/>
    <n v="0"/>
    <n v="1"/>
    <n v="802"/>
    <n v="9"/>
    <x v="1"/>
    <x v="0"/>
    <n v="3"/>
    <n v="96"/>
    <n v="3"/>
    <n v="3"/>
    <x v="1"/>
    <n v="8189"/>
    <n v="21196"/>
    <n v="3"/>
    <n v="13"/>
    <n v="3"/>
    <n v="3"/>
    <n v="80"/>
    <n v="1"/>
    <n v="12"/>
    <n v="3"/>
    <n v="9"/>
    <n v="7"/>
    <n v="0"/>
    <n v="7"/>
  </r>
  <r>
    <s v="No"/>
    <s v="Travel_Rarely"/>
    <x v="2"/>
    <s v="Current Employees"/>
    <x v="2"/>
    <x v="0"/>
    <x v="134"/>
    <x v="134"/>
    <x v="0"/>
    <x v="8"/>
    <x v="1"/>
    <s v="No"/>
    <s v="Y"/>
    <n v="3"/>
    <n v="-2"/>
    <n v="0"/>
    <x v="25"/>
    <x v="1"/>
    <m/>
    <n v="0"/>
    <n v="1"/>
    <n v="1355"/>
    <n v="25"/>
    <x v="1"/>
    <x v="0"/>
    <n v="3"/>
    <n v="61"/>
    <n v="3"/>
    <n v="1"/>
    <x v="1"/>
    <n v="2942"/>
    <n v="8916"/>
    <n v="1"/>
    <n v="23"/>
    <n v="4"/>
    <n v="4"/>
    <n v="80"/>
    <n v="1"/>
    <n v="8"/>
    <n v="3"/>
    <n v="8"/>
    <n v="7"/>
    <n v="5"/>
    <n v="7"/>
  </r>
  <r>
    <s v="No"/>
    <s v="Travel_Rarely"/>
    <x v="0"/>
    <s v="Current Employees"/>
    <x v="1"/>
    <x v="2"/>
    <x v="135"/>
    <x v="135"/>
    <x v="1"/>
    <x v="3"/>
    <x v="2"/>
    <s v="No"/>
    <s v="Y"/>
    <n v="0"/>
    <n v="-2"/>
    <n v="0"/>
    <x v="9"/>
    <x v="1"/>
    <m/>
    <n v="0"/>
    <n v="1"/>
    <n v="216"/>
    <n v="6"/>
    <x v="0"/>
    <x v="0"/>
    <n v="2"/>
    <n v="84"/>
    <n v="3"/>
    <n v="2"/>
    <x v="2"/>
    <n v="4941"/>
    <n v="2819"/>
    <n v="6"/>
    <n v="20"/>
    <n v="4"/>
    <n v="4"/>
    <n v="80"/>
    <n v="2"/>
    <n v="7"/>
    <n v="3"/>
    <n v="3"/>
    <n v="2"/>
    <n v="0"/>
    <n v="1"/>
  </r>
  <r>
    <s v="Yes"/>
    <s v="Travel_Frequently"/>
    <x v="1"/>
    <s v="Ex-Employees"/>
    <x v="1"/>
    <x v="0"/>
    <x v="136"/>
    <x v="136"/>
    <x v="1"/>
    <x v="3"/>
    <x v="0"/>
    <s v="No"/>
    <s v="Y"/>
    <n v="2"/>
    <n v="-2"/>
    <n v="0"/>
    <x v="31"/>
    <x v="0"/>
    <n v="1"/>
    <n v="1"/>
    <n v="0"/>
    <n v="1150"/>
    <n v="8"/>
    <x v="2"/>
    <x v="0"/>
    <n v="1"/>
    <n v="53"/>
    <n v="1"/>
    <n v="3"/>
    <x v="1"/>
    <n v="10650"/>
    <n v="25150"/>
    <n v="2"/>
    <n v="15"/>
    <n v="3"/>
    <n v="4"/>
    <n v="80"/>
    <n v="0"/>
    <n v="18"/>
    <n v="3"/>
    <n v="4"/>
    <n v="2"/>
    <n v="0"/>
    <n v="3"/>
  </r>
  <r>
    <s v="No"/>
    <s v="Travel_Rarely"/>
    <x v="0"/>
    <s v="Current Employees"/>
    <x v="0"/>
    <x v="0"/>
    <x v="137"/>
    <x v="137"/>
    <x v="0"/>
    <x v="0"/>
    <x v="1"/>
    <s v="No"/>
    <s v="Y"/>
    <n v="1"/>
    <n v="-2"/>
    <n v="0"/>
    <x v="22"/>
    <x v="1"/>
    <m/>
    <n v="0"/>
    <n v="1"/>
    <n v="1329"/>
    <n v="4"/>
    <x v="2"/>
    <x v="0"/>
    <n v="4"/>
    <n v="47"/>
    <n v="2"/>
    <n v="2"/>
    <x v="1"/>
    <n v="5902"/>
    <n v="14590"/>
    <n v="4"/>
    <n v="14"/>
    <n v="3"/>
    <n v="3"/>
    <n v="80"/>
    <n v="1"/>
    <n v="17"/>
    <n v="4"/>
    <n v="15"/>
    <n v="11"/>
    <n v="5"/>
    <n v="9"/>
  </r>
  <r>
    <s v="No"/>
    <s v="Travel_Rarely"/>
    <x v="2"/>
    <s v="Current Employees"/>
    <x v="0"/>
    <x v="0"/>
    <x v="138"/>
    <x v="138"/>
    <x v="1"/>
    <x v="0"/>
    <x v="1"/>
    <s v="No"/>
    <s v="Y"/>
    <n v="3"/>
    <n v="-2"/>
    <n v="0"/>
    <x v="36"/>
    <x v="1"/>
    <m/>
    <n v="0"/>
    <n v="1"/>
    <n v="959"/>
    <n v="28"/>
    <x v="3"/>
    <x v="0"/>
    <n v="1"/>
    <n v="41"/>
    <n v="2"/>
    <n v="2"/>
    <x v="1"/>
    <n v="8639"/>
    <n v="24835"/>
    <n v="2"/>
    <n v="18"/>
    <n v="3"/>
    <n v="4"/>
    <n v="80"/>
    <n v="0"/>
    <n v="6"/>
    <n v="3"/>
    <n v="2"/>
    <n v="2"/>
    <n v="2"/>
    <n v="2"/>
  </r>
  <r>
    <s v="No"/>
    <s v="Travel_Rarely"/>
    <x v="2"/>
    <s v="Current Employees"/>
    <x v="2"/>
    <x v="5"/>
    <x v="139"/>
    <x v="139"/>
    <x v="1"/>
    <x v="8"/>
    <x v="1"/>
    <s v="Yes"/>
    <s v="Y"/>
    <n v="2"/>
    <n v="-2"/>
    <n v="0"/>
    <x v="7"/>
    <x v="1"/>
    <m/>
    <n v="0"/>
    <n v="1"/>
    <n v="1240"/>
    <n v="9"/>
    <x v="3"/>
    <x v="0"/>
    <n v="3"/>
    <n v="48"/>
    <n v="3"/>
    <n v="2"/>
    <x v="0"/>
    <n v="6347"/>
    <n v="13982"/>
    <n v="0"/>
    <n v="19"/>
    <n v="3"/>
    <n v="4"/>
    <n v="80"/>
    <n v="0"/>
    <n v="12"/>
    <n v="1"/>
    <n v="11"/>
    <n v="9"/>
    <n v="4"/>
    <n v="7"/>
  </r>
  <r>
    <s v="Yes"/>
    <s v="Travel_Rarely"/>
    <x v="2"/>
    <s v="Ex-Employees"/>
    <x v="1"/>
    <x v="2"/>
    <x v="140"/>
    <x v="140"/>
    <x v="0"/>
    <x v="2"/>
    <x v="0"/>
    <s v="No"/>
    <s v="Y"/>
    <n v="2"/>
    <n v="-2"/>
    <n v="0"/>
    <x v="5"/>
    <x v="0"/>
    <n v="1"/>
    <n v="1"/>
    <n v="0"/>
    <n v="1033"/>
    <n v="9"/>
    <x v="3"/>
    <x v="0"/>
    <n v="1"/>
    <n v="41"/>
    <n v="3"/>
    <n v="1"/>
    <x v="3"/>
    <n v="4200"/>
    <n v="10224"/>
    <n v="7"/>
    <n v="22"/>
    <n v="4"/>
    <n v="1"/>
    <n v="80"/>
    <n v="0"/>
    <n v="10"/>
    <n v="4"/>
    <n v="5"/>
    <n v="4"/>
    <n v="0"/>
    <n v="4"/>
  </r>
  <r>
    <s v="No"/>
    <s v="Travel_Rarely"/>
    <x v="1"/>
    <s v="Current Employees"/>
    <x v="1"/>
    <x v="2"/>
    <x v="141"/>
    <x v="141"/>
    <x v="1"/>
    <x v="1"/>
    <x v="0"/>
    <s v="No"/>
    <s v="Y"/>
    <n v="2"/>
    <n v="-2"/>
    <n v="0"/>
    <x v="28"/>
    <x v="1"/>
    <m/>
    <n v="0"/>
    <n v="1"/>
    <n v="1316"/>
    <n v="29"/>
    <x v="3"/>
    <x v="0"/>
    <n v="3"/>
    <n v="83"/>
    <n v="3"/>
    <n v="1"/>
    <x v="0"/>
    <n v="3452"/>
    <n v="9752"/>
    <n v="5"/>
    <n v="13"/>
    <n v="3"/>
    <n v="2"/>
    <n v="80"/>
    <n v="0"/>
    <n v="9"/>
    <n v="2"/>
    <n v="6"/>
    <n v="5"/>
    <n v="0"/>
    <n v="3"/>
  </r>
  <r>
    <s v="No"/>
    <s v="Travel_Rarely"/>
    <x v="0"/>
    <s v="Current Employees"/>
    <x v="1"/>
    <x v="4"/>
    <x v="142"/>
    <x v="142"/>
    <x v="0"/>
    <x v="1"/>
    <x v="0"/>
    <s v="Yes"/>
    <s v="Y"/>
    <n v="2"/>
    <n v="-2"/>
    <n v="0"/>
    <x v="8"/>
    <x v="1"/>
    <m/>
    <n v="0"/>
    <n v="1"/>
    <n v="364"/>
    <n v="3"/>
    <x v="4"/>
    <x v="0"/>
    <n v="4"/>
    <n v="32"/>
    <n v="3"/>
    <n v="2"/>
    <x v="2"/>
    <n v="4317"/>
    <n v="2302"/>
    <n v="3"/>
    <n v="20"/>
    <n v="4"/>
    <n v="2"/>
    <n v="80"/>
    <n v="0"/>
    <n v="19"/>
    <n v="3"/>
    <n v="3"/>
    <n v="2"/>
    <n v="2"/>
    <n v="2"/>
  </r>
  <r>
    <s v="No"/>
    <s v="Travel_Rarely"/>
    <x v="2"/>
    <s v="Current Employees"/>
    <x v="1"/>
    <x v="0"/>
    <x v="143"/>
    <x v="143"/>
    <x v="0"/>
    <x v="1"/>
    <x v="0"/>
    <s v="No"/>
    <s v="Y"/>
    <n v="4"/>
    <n v="-2"/>
    <n v="0"/>
    <x v="7"/>
    <x v="1"/>
    <m/>
    <n v="0"/>
    <n v="1"/>
    <n v="438"/>
    <n v="18"/>
    <x v="3"/>
    <x v="0"/>
    <n v="1"/>
    <n v="75"/>
    <n v="3"/>
    <n v="1"/>
    <x v="1"/>
    <n v="2632"/>
    <n v="23910"/>
    <n v="1"/>
    <n v="14"/>
    <n v="3"/>
    <n v="3"/>
    <n v="80"/>
    <n v="0"/>
    <n v="5"/>
    <n v="2"/>
    <n v="5"/>
    <n v="4"/>
    <n v="0"/>
    <n v="4"/>
  </r>
  <r>
    <s v="No"/>
    <s v="Travel_Frequently"/>
    <x v="2"/>
    <s v="Current Employees"/>
    <x v="0"/>
    <x v="2"/>
    <x v="144"/>
    <x v="144"/>
    <x v="1"/>
    <x v="0"/>
    <x v="2"/>
    <s v="No"/>
    <s v="Y"/>
    <n v="2"/>
    <n v="-2"/>
    <n v="0"/>
    <x v="5"/>
    <x v="1"/>
    <m/>
    <n v="0"/>
    <n v="1"/>
    <n v="689"/>
    <n v="9"/>
    <x v="0"/>
    <x v="0"/>
    <n v="4"/>
    <n v="35"/>
    <n v="1"/>
    <n v="2"/>
    <x v="0"/>
    <n v="4668"/>
    <n v="22812"/>
    <n v="0"/>
    <n v="17"/>
    <n v="3"/>
    <n v="4"/>
    <n v="80"/>
    <n v="3"/>
    <n v="9"/>
    <n v="4"/>
    <n v="8"/>
    <n v="7"/>
    <n v="0"/>
    <n v="7"/>
  </r>
  <r>
    <s v="No"/>
    <s v="Travel_Rarely"/>
    <x v="2"/>
    <s v="Current Employees"/>
    <x v="1"/>
    <x v="4"/>
    <x v="145"/>
    <x v="145"/>
    <x v="0"/>
    <x v="1"/>
    <x v="2"/>
    <s v="No"/>
    <s v="Y"/>
    <n v="3"/>
    <n v="-2"/>
    <n v="0"/>
    <x v="7"/>
    <x v="1"/>
    <m/>
    <n v="0"/>
    <n v="1"/>
    <n v="201"/>
    <n v="5"/>
    <x v="3"/>
    <x v="0"/>
    <n v="4"/>
    <n v="84"/>
    <n v="3"/>
    <n v="1"/>
    <x v="0"/>
    <n v="3204"/>
    <n v="10415"/>
    <n v="5"/>
    <n v="14"/>
    <n v="3"/>
    <n v="4"/>
    <n v="80"/>
    <n v="1"/>
    <n v="8"/>
    <n v="3"/>
    <n v="3"/>
    <n v="2"/>
    <n v="2"/>
    <n v="2"/>
  </r>
  <r>
    <s v="No"/>
    <s v="Travel_Rarely"/>
    <x v="2"/>
    <s v="Current Employees"/>
    <x v="1"/>
    <x v="2"/>
    <x v="146"/>
    <x v="146"/>
    <x v="1"/>
    <x v="2"/>
    <x v="0"/>
    <s v="No"/>
    <s v="Y"/>
    <n v="3"/>
    <n v="-2"/>
    <n v="0"/>
    <x v="7"/>
    <x v="1"/>
    <m/>
    <n v="0"/>
    <n v="1"/>
    <n v="1427"/>
    <n v="2"/>
    <x v="1"/>
    <x v="0"/>
    <n v="2"/>
    <n v="35"/>
    <n v="2"/>
    <n v="1"/>
    <x v="0"/>
    <n v="2720"/>
    <n v="11162"/>
    <n v="0"/>
    <n v="13"/>
    <n v="3"/>
    <n v="4"/>
    <n v="80"/>
    <n v="0"/>
    <n v="6"/>
    <n v="3"/>
    <n v="5"/>
    <n v="3"/>
    <n v="1"/>
    <n v="2"/>
  </r>
  <r>
    <s v="No"/>
    <s v="Travel_Frequently"/>
    <x v="0"/>
    <s v="Current Employees"/>
    <x v="1"/>
    <x v="0"/>
    <x v="147"/>
    <x v="147"/>
    <x v="1"/>
    <x v="5"/>
    <x v="2"/>
    <s v="No"/>
    <s v="Y"/>
    <n v="2"/>
    <n v="-2"/>
    <n v="0"/>
    <x v="0"/>
    <x v="1"/>
    <m/>
    <n v="0"/>
    <n v="1"/>
    <n v="857"/>
    <n v="10"/>
    <x v="3"/>
    <x v="0"/>
    <n v="4"/>
    <n v="91"/>
    <n v="2"/>
    <n v="4"/>
    <x v="1"/>
    <n v="17181"/>
    <n v="12888"/>
    <n v="4"/>
    <n v="13"/>
    <n v="3"/>
    <n v="2"/>
    <n v="80"/>
    <n v="1"/>
    <n v="21"/>
    <n v="2"/>
    <n v="7"/>
    <n v="6"/>
    <n v="7"/>
    <n v="7"/>
  </r>
  <r>
    <s v="No"/>
    <s v="Travel_Rarely"/>
    <x v="0"/>
    <s v="Current Employees"/>
    <x v="1"/>
    <x v="0"/>
    <x v="148"/>
    <x v="148"/>
    <x v="1"/>
    <x v="2"/>
    <x v="1"/>
    <s v="No"/>
    <s v="Y"/>
    <n v="2"/>
    <n v="-2"/>
    <n v="0"/>
    <x v="0"/>
    <x v="1"/>
    <m/>
    <n v="0"/>
    <n v="1"/>
    <n v="933"/>
    <n v="9"/>
    <x v="2"/>
    <x v="0"/>
    <n v="3"/>
    <n v="94"/>
    <n v="3"/>
    <n v="1"/>
    <x v="1"/>
    <n v="2238"/>
    <n v="6961"/>
    <n v="2"/>
    <n v="21"/>
    <n v="4"/>
    <n v="4"/>
    <n v="80"/>
    <n v="1"/>
    <n v="7"/>
    <n v="3"/>
    <n v="5"/>
    <n v="0"/>
    <n v="1"/>
    <n v="4"/>
  </r>
  <r>
    <s v="No"/>
    <s v="Travel_Rarely"/>
    <x v="4"/>
    <s v="Current Employees"/>
    <x v="1"/>
    <x v="2"/>
    <x v="149"/>
    <x v="149"/>
    <x v="0"/>
    <x v="2"/>
    <x v="0"/>
    <s v="No"/>
    <s v="Y"/>
    <n v="3"/>
    <n v="-2"/>
    <n v="0"/>
    <x v="37"/>
    <x v="1"/>
    <m/>
    <n v="0"/>
    <n v="1"/>
    <n v="1181"/>
    <n v="3"/>
    <x v="1"/>
    <x v="0"/>
    <n v="2"/>
    <n v="79"/>
    <n v="3"/>
    <n v="1"/>
    <x v="2"/>
    <n v="1483"/>
    <n v="16102"/>
    <n v="1"/>
    <n v="14"/>
    <n v="3"/>
    <n v="4"/>
    <n v="80"/>
    <n v="0"/>
    <n v="1"/>
    <n v="3"/>
    <n v="1"/>
    <n v="0"/>
    <n v="0"/>
    <n v="0"/>
  </r>
  <r>
    <s v="No"/>
    <s v="Travel_Frequently"/>
    <x v="0"/>
    <s v="Current Employees"/>
    <x v="1"/>
    <x v="2"/>
    <x v="150"/>
    <x v="150"/>
    <x v="0"/>
    <x v="1"/>
    <x v="2"/>
    <s v="No"/>
    <s v="Y"/>
    <n v="2"/>
    <n v="-2"/>
    <n v="0"/>
    <x v="32"/>
    <x v="1"/>
    <m/>
    <n v="0"/>
    <n v="1"/>
    <n v="1395"/>
    <n v="26"/>
    <x v="3"/>
    <x v="0"/>
    <n v="2"/>
    <n v="54"/>
    <n v="3"/>
    <n v="2"/>
    <x v="2"/>
    <n v="5605"/>
    <n v="8504"/>
    <n v="1"/>
    <n v="11"/>
    <n v="3"/>
    <n v="1"/>
    <n v="80"/>
    <n v="1"/>
    <n v="20"/>
    <n v="3"/>
    <n v="20"/>
    <n v="7"/>
    <n v="2"/>
    <n v="13"/>
  </r>
  <r>
    <s v="No"/>
    <s v="Travel_Rarely"/>
    <x v="0"/>
    <s v="Current Employees"/>
    <x v="0"/>
    <x v="3"/>
    <x v="151"/>
    <x v="151"/>
    <x v="1"/>
    <x v="0"/>
    <x v="1"/>
    <s v="No"/>
    <s v="Y"/>
    <n v="3"/>
    <n v="-2"/>
    <n v="0"/>
    <x v="10"/>
    <x v="1"/>
    <m/>
    <n v="0"/>
    <n v="1"/>
    <n v="662"/>
    <n v="1"/>
    <x v="4"/>
    <x v="0"/>
    <n v="3"/>
    <n v="94"/>
    <n v="3"/>
    <n v="3"/>
    <x v="2"/>
    <n v="7295"/>
    <n v="11439"/>
    <n v="1"/>
    <n v="13"/>
    <n v="3"/>
    <n v="1"/>
    <n v="80"/>
    <n v="2"/>
    <n v="10"/>
    <n v="3"/>
    <n v="10"/>
    <n v="8"/>
    <n v="0"/>
    <n v="6"/>
  </r>
  <r>
    <s v="No"/>
    <s v="Travel_Rarely"/>
    <x v="1"/>
    <s v="Current Employees"/>
    <x v="0"/>
    <x v="3"/>
    <x v="152"/>
    <x v="152"/>
    <x v="1"/>
    <x v="6"/>
    <x v="1"/>
    <s v="Yes"/>
    <s v="Y"/>
    <n v="3"/>
    <n v="-2"/>
    <n v="0"/>
    <x v="16"/>
    <x v="1"/>
    <m/>
    <n v="0"/>
    <n v="1"/>
    <n v="1436"/>
    <n v="6"/>
    <x v="0"/>
    <x v="0"/>
    <n v="2"/>
    <n v="34"/>
    <n v="3"/>
    <n v="2"/>
    <x v="2"/>
    <n v="2306"/>
    <n v="16047"/>
    <n v="2"/>
    <n v="20"/>
    <n v="4"/>
    <n v="4"/>
    <n v="80"/>
    <n v="1"/>
    <n v="13"/>
    <n v="1"/>
    <n v="7"/>
    <n v="7"/>
    <n v="4"/>
    <n v="5"/>
  </r>
  <r>
    <s v="No"/>
    <s v="Travel_Rarely"/>
    <x v="1"/>
    <s v="Current Employees"/>
    <x v="1"/>
    <x v="0"/>
    <x v="153"/>
    <x v="153"/>
    <x v="1"/>
    <x v="2"/>
    <x v="2"/>
    <s v="No"/>
    <s v="Y"/>
    <n v="2"/>
    <n v="-2"/>
    <n v="0"/>
    <x v="28"/>
    <x v="1"/>
    <m/>
    <n v="0"/>
    <n v="1"/>
    <n v="194"/>
    <n v="9"/>
    <x v="3"/>
    <x v="0"/>
    <n v="2"/>
    <n v="60"/>
    <n v="3"/>
    <n v="2"/>
    <x v="1"/>
    <n v="2348"/>
    <n v="10901"/>
    <n v="8"/>
    <n v="18"/>
    <n v="3"/>
    <n v="3"/>
    <n v="80"/>
    <n v="1"/>
    <n v="20"/>
    <n v="1"/>
    <n v="17"/>
    <n v="9"/>
    <n v="0"/>
    <n v="15"/>
  </r>
  <r>
    <s v="No"/>
    <s v="Travel_Frequently"/>
    <x v="2"/>
    <s v="Current Employees"/>
    <x v="0"/>
    <x v="3"/>
    <x v="154"/>
    <x v="154"/>
    <x v="0"/>
    <x v="0"/>
    <x v="0"/>
    <s v="No"/>
    <s v="Y"/>
    <n v="2"/>
    <n v="-2"/>
    <n v="0"/>
    <x v="5"/>
    <x v="1"/>
    <m/>
    <n v="0"/>
    <n v="1"/>
    <n v="967"/>
    <n v="8"/>
    <x v="3"/>
    <x v="0"/>
    <n v="2"/>
    <n v="43"/>
    <n v="3"/>
    <n v="3"/>
    <x v="0"/>
    <n v="8998"/>
    <n v="15589"/>
    <n v="1"/>
    <n v="14"/>
    <n v="3"/>
    <n v="4"/>
    <n v="80"/>
    <n v="0"/>
    <n v="9"/>
    <n v="3"/>
    <n v="9"/>
    <n v="8"/>
    <n v="3"/>
    <n v="7"/>
  </r>
  <r>
    <s v="No"/>
    <s v="Non-Travel"/>
    <x v="2"/>
    <s v="Current Employees"/>
    <x v="1"/>
    <x v="4"/>
    <x v="155"/>
    <x v="155"/>
    <x v="1"/>
    <x v="3"/>
    <x v="1"/>
    <s v="No"/>
    <s v="Y"/>
    <n v="1"/>
    <n v="-2"/>
    <n v="0"/>
    <x v="11"/>
    <x v="1"/>
    <m/>
    <n v="0"/>
    <n v="1"/>
    <n v="1496"/>
    <n v="1"/>
    <x v="1"/>
    <x v="0"/>
    <n v="4"/>
    <n v="41"/>
    <n v="3"/>
    <n v="2"/>
    <x v="0"/>
    <n v="4319"/>
    <n v="26283"/>
    <n v="1"/>
    <n v="13"/>
    <n v="3"/>
    <n v="1"/>
    <n v="80"/>
    <n v="1"/>
    <n v="10"/>
    <n v="3"/>
    <n v="10"/>
    <n v="7"/>
    <n v="0"/>
    <n v="9"/>
  </r>
  <r>
    <s v="No"/>
    <s v="Travel_Rarely"/>
    <x v="1"/>
    <s v="Current Employees"/>
    <x v="1"/>
    <x v="2"/>
    <x v="156"/>
    <x v="156"/>
    <x v="1"/>
    <x v="3"/>
    <x v="1"/>
    <s v="No"/>
    <s v="Y"/>
    <n v="2"/>
    <n v="-2"/>
    <n v="0"/>
    <x v="31"/>
    <x v="1"/>
    <m/>
    <n v="0"/>
    <n v="1"/>
    <n v="1169"/>
    <n v="7"/>
    <x v="2"/>
    <x v="0"/>
    <n v="2"/>
    <n v="34"/>
    <n v="2"/>
    <n v="2"/>
    <x v="2"/>
    <n v="6132"/>
    <n v="13983"/>
    <n v="2"/>
    <n v="17"/>
    <n v="3"/>
    <n v="3"/>
    <n v="80"/>
    <n v="0"/>
    <n v="10"/>
    <n v="3"/>
    <n v="1"/>
    <n v="0"/>
    <n v="0"/>
    <n v="0"/>
  </r>
  <r>
    <s v="No"/>
    <s v="Travel_Rarely"/>
    <x v="3"/>
    <s v="Current Employees"/>
    <x v="1"/>
    <x v="2"/>
    <x v="157"/>
    <x v="157"/>
    <x v="0"/>
    <x v="1"/>
    <x v="1"/>
    <s v="Yes"/>
    <s v="Y"/>
    <n v="3"/>
    <n v="-2"/>
    <n v="0"/>
    <x v="34"/>
    <x v="1"/>
    <m/>
    <n v="0"/>
    <n v="1"/>
    <n v="1145"/>
    <n v="9"/>
    <x v="3"/>
    <x v="0"/>
    <n v="2"/>
    <n v="75"/>
    <n v="2"/>
    <n v="1"/>
    <x v="2"/>
    <n v="3346"/>
    <n v="11873"/>
    <n v="4"/>
    <n v="20"/>
    <n v="4"/>
    <n v="2"/>
    <n v="80"/>
    <n v="1"/>
    <n v="9"/>
    <n v="2"/>
    <n v="1"/>
    <n v="0"/>
    <n v="0"/>
    <n v="0"/>
  </r>
  <r>
    <s v="No"/>
    <s v="Travel_Rarely"/>
    <x v="0"/>
    <s v="Current Employees"/>
    <x v="0"/>
    <x v="3"/>
    <x v="158"/>
    <x v="158"/>
    <x v="1"/>
    <x v="0"/>
    <x v="1"/>
    <s v="No"/>
    <s v="Y"/>
    <n v="2"/>
    <n v="-2"/>
    <n v="0"/>
    <x v="32"/>
    <x v="1"/>
    <m/>
    <n v="0"/>
    <n v="1"/>
    <n v="630"/>
    <n v="4"/>
    <x v="2"/>
    <x v="0"/>
    <n v="3"/>
    <n v="67"/>
    <n v="2"/>
    <n v="3"/>
    <x v="0"/>
    <n v="10855"/>
    <n v="8552"/>
    <n v="7"/>
    <n v="11"/>
    <n v="3"/>
    <n v="1"/>
    <n v="80"/>
    <n v="1"/>
    <n v="15"/>
    <n v="2"/>
    <n v="12"/>
    <n v="11"/>
    <n v="2"/>
    <n v="11"/>
  </r>
  <r>
    <s v="No"/>
    <s v="Travel_Frequently"/>
    <x v="2"/>
    <s v="Current Employees"/>
    <x v="0"/>
    <x v="3"/>
    <x v="159"/>
    <x v="159"/>
    <x v="0"/>
    <x v="6"/>
    <x v="1"/>
    <s v="No"/>
    <s v="Y"/>
    <n v="3"/>
    <n v="-2"/>
    <n v="0"/>
    <x v="13"/>
    <x v="1"/>
    <m/>
    <n v="0"/>
    <n v="1"/>
    <n v="303"/>
    <n v="2"/>
    <x v="2"/>
    <x v="0"/>
    <n v="3"/>
    <n v="75"/>
    <n v="3"/>
    <n v="1"/>
    <x v="2"/>
    <n v="2231"/>
    <n v="11314"/>
    <n v="6"/>
    <n v="18"/>
    <n v="3"/>
    <n v="4"/>
    <n v="80"/>
    <n v="1"/>
    <n v="6"/>
    <n v="3"/>
    <n v="4"/>
    <n v="3"/>
    <n v="1"/>
    <n v="2"/>
  </r>
  <r>
    <s v="No"/>
    <s v="Travel_Rarely"/>
    <x v="4"/>
    <s v="Current Employees"/>
    <x v="1"/>
    <x v="2"/>
    <x v="160"/>
    <x v="160"/>
    <x v="1"/>
    <x v="1"/>
    <x v="1"/>
    <s v="No"/>
    <s v="Y"/>
    <n v="6"/>
    <n v="-2"/>
    <n v="0"/>
    <x v="15"/>
    <x v="1"/>
    <m/>
    <n v="0"/>
    <n v="1"/>
    <n v="1256"/>
    <n v="19"/>
    <x v="1"/>
    <x v="0"/>
    <n v="3"/>
    <n v="80"/>
    <n v="3"/>
    <n v="1"/>
    <x v="0"/>
    <n v="2323"/>
    <n v="11992"/>
    <n v="1"/>
    <n v="24"/>
    <n v="4"/>
    <n v="1"/>
    <n v="80"/>
    <n v="2"/>
    <n v="2"/>
    <n v="3"/>
    <n v="2"/>
    <n v="2"/>
    <n v="2"/>
    <n v="2"/>
  </r>
  <r>
    <s v="No"/>
    <s v="Non-Travel"/>
    <x v="2"/>
    <s v="Current Employees"/>
    <x v="1"/>
    <x v="2"/>
    <x v="161"/>
    <x v="161"/>
    <x v="1"/>
    <x v="1"/>
    <x v="2"/>
    <s v="No"/>
    <s v="Y"/>
    <n v="1"/>
    <n v="-2"/>
    <n v="0"/>
    <x v="4"/>
    <x v="1"/>
    <m/>
    <n v="0"/>
    <n v="1"/>
    <n v="691"/>
    <n v="9"/>
    <x v="3"/>
    <x v="0"/>
    <n v="4"/>
    <n v="57"/>
    <n v="3"/>
    <n v="1"/>
    <x v="2"/>
    <n v="2024"/>
    <n v="5970"/>
    <n v="6"/>
    <n v="18"/>
    <n v="3"/>
    <n v="4"/>
    <n v="80"/>
    <n v="1"/>
    <n v="6"/>
    <n v="1"/>
    <n v="2"/>
    <n v="2"/>
    <n v="2"/>
    <n v="2"/>
  </r>
  <r>
    <s v="No"/>
    <s v="Travel_Rarely"/>
    <x v="2"/>
    <s v="Current Employees"/>
    <x v="1"/>
    <x v="2"/>
    <x v="162"/>
    <x v="162"/>
    <x v="1"/>
    <x v="1"/>
    <x v="1"/>
    <s v="No"/>
    <s v="Y"/>
    <n v="2"/>
    <n v="-2"/>
    <n v="0"/>
    <x v="14"/>
    <x v="1"/>
    <m/>
    <n v="0"/>
    <n v="1"/>
    <n v="440"/>
    <n v="21"/>
    <x v="3"/>
    <x v="0"/>
    <n v="3"/>
    <n v="42"/>
    <n v="3"/>
    <n v="1"/>
    <x v="0"/>
    <n v="2713"/>
    <n v="6672"/>
    <n v="1"/>
    <n v="11"/>
    <n v="3"/>
    <n v="3"/>
    <n v="80"/>
    <n v="1"/>
    <n v="5"/>
    <n v="1"/>
    <n v="5"/>
    <n v="2"/>
    <n v="0"/>
    <n v="2"/>
  </r>
  <r>
    <s v="No"/>
    <s v="Travel_Rarely"/>
    <x v="3"/>
    <s v="Current Employees"/>
    <x v="1"/>
    <x v="0"/>
    <x v="163"/>
    <x v="163"/>
    <x v="1"/>
    <x v="4"/>
    <x v="2"/>
    <s v="Yes"/>
    <s v="Y"/>
    <n v="2"/>
    <n v="-2"/>
    <n v="0"/>
    <x v="38"/>
    <x v="1"/>
    <m/>
    <n v="0"/>
    <n v="1"/>
    <n v="334"/>
    <n v="24"/>
    <x v="0"/>
    <x v="0"/>
    <n v="3"/>
    <n v="83"/>
    <n v="4"/>
    <n v="3"/>
    <x v="1"/>
    <n v="9439"/>
    <n v="23402"/>
    <n v="3"/>
    <n v="16"/>
    <n v="3"/>
    <n v="2"/>
    <n v="80"/>
    <n v="1"/>
    <n v="12"/>
    <n v="1"/>
    <n v="5"/>
    <n v="3"/>
    <n v="1"/>
    <n v="4"/>
  </r>
  <r>
    <s v="No"/>
    <s v="Non-Travel"/>
    <x v="2"/>
    <s v="Current Employees"/>
    <x v="1"/>
    <x v="2"/>
    <x v="164"/>
    <x v="164"/>
    <x v="1"/>
    <x v="1"/>
    <x v="2"/>
    <s v="Yes"/>
    <s v="Y"/>
    <n v="2"/>
    <n v="-2"/>
    <n v="0"/>
    <x v="4"/>
    <x v="1"/>
    <m/>
    <n v="0"/>
    <n v="1"/>
    <n v="1450"/>
    <n v="3"/>
    <x v="3"/>
    <x v="0"/>
    <n v="3"/>
    <n v="79"/>
    <n v="2"/>
    <n v="1"/>
    <x v="2"/>
    <n v="2566"/>
    <n v="25326"/>
    <n v="1"/>
    <n v="15"/>
    <n v="3"/>
    <n v="4"/>
    <n v="80"/>
    <n v="1"/>
    <n v="1"/>
    <n v="2"/>
    <n v="1"/>
    <n v="1"/>
    <n v="0"/>
    <n v="1"/>
  </r>
  <r>
    <s v="No"/>
    <s v="Travel_Rarely"/>
    <x v="1"/>
    <s v="Current Employees"/>
    <x v="1"/>
    <x v="0"/>
    <x v="165"/>
    <x v="165"/>
    <x v="0"/>
    <x v="5"/>
    <x v="0"/>
    <s v="No"/>
    <s v="Y"/>
    <n v="5"/>
    <n v="-2"/>
    <n v="0"/>
    <x v="24"/>
    <x v="1"/>
    <m/>
    <n v="0"/>
    <n v="1"/>
    <n v="1452"/>
    <n v="11"/>
    <x v="3"/>
    <x v="0"/>
    <n v="3"/>
    <n v="53"/>
    <n v="3"/>
    <n v="5"/>
    <x v="1"/>
    <n v="19926"/>
    <n v="17053"/>
    <n v="3"/>
    <n v="15"/>
    <n v="3"/>
    <n v="2"/>
    <n v="80"/>
    <n v="0"/>
    <n v="21"/>
    <n v="3"/>
    <n v="5"/>
    <n v="4"/>
    <n v="4"/>
    <n v="4"/>
  </r>
  <r>
    <s v="No"/>
    <s v="Travel_Rarely"/>
    <x v="0"/>
    <s v="Current Employees"/>
    <x v="1"/>
    <x v="0"/>
    <x v="166"/>
    <x v="166"/>
    <x v="1"/>
    <x v="1"/>
    <x v="2"/>
    <s v="No"/>
    <s v="Y"/>
    <n v="2"/>
    <n v="-2"/>
    <n v="0"/>
    <x v="0"/>
    <x v="1"/>
    <m/>
    <n v="0"/>
    <n v="1"/>
    <n v="465"/>
    <n v="14"/>
    <x v="3"/>
    <x v="0"/>
    <n v="1"/>
    <n v="56"/>
    <n v="3"/>
    <n v="1"/>
    <x v="1"/>
    <n v="2451"/>
    <n v="4609"/>
    <n v="4"/>
    <n v="12"/>
    <n v="3"/>
    <n v="1"/>
    <n v="80"/>
    <n v="1"/>
    <n v="13"/>
    <n v="3"/>
    <n v="9"/>
    <n v="8"/>
    <n v="1"/>
    <n v="8"/>
  </r>
  <r>
    <s v="No"/>
    <s v="Travel_Rarely"/>
    <x v="2"/>
    <s v="Current Employees"/>
    <x v="0"/>
    <x v="0"/>
    <x v="167"/>
    <x v="167"/>
    <x v="0"/>
    <x v="0"/>
    <x v="1"/>
    <s v="No"/>
    <s v="Y"/>
    <n v="2"/>
    <n v="-2"/>
    <n v="0"/>
    <x v="7"/>
    <x v="1"/>
    <m/>
    <n v="0"/>
    <n v="1"/>
    <n v="1339"/>
    <n v="5"/>
    <x v="3"/>
    <x v="0"/>
    <n v="2"/>
    <n v="41"/>
    <n v="3"/>
    <n v="3"/>
    <x v="1"/>
    <n v="9419"/>
    <n v="8053"/>
    <n v="2"/>
    <n v="12"/>
    <n v="3"/>
    <n v="3"/>
    <n v="80"/>
    <n v="1"/>
    <n v="12"/>
    <n v="3"/>
    <n v="10"/>
    <n v="9"/>
    <n v="7"/>
    <n v="4"/>
  </r>
  <r>
    <s v="No"/>
    <s v="Travel_Rarely"/>
    <x v="0"/>
    <s v="Current Employees"/>
    <x v="0"/>
    <x v="0"/>
    <x v="168"/>
    <x v="168"/>
    <x v="0"/>
    <x v="0"/>
    <x v="0"/>
    <s v="No"/>
    <s v="Y"/>
    <n v="2"/>
    <n v="-2"/>
    <n v="0"/>
    <x v="8"/>
    <x v="1"/>
    <m/>
    <n v="0"/>
    <n v="1"/>
    <n v="702"/>
    <n v="1"/>
    <x v="2"/>
    <x v="0"/>
    <n v="1"/>
    <n v="59"/>
    <n v="2"/>
    <n v="2"/>
    <x v="1"/>
    <n v="8686"/>
    <n v="12930"/>
    <n v="4"/>
    <n v="22"/>
    <n v="4"/>
    <n v="3"/>
    <n v="80"/>
    <n v="0"/>
    <n v="12"/>
    <n v="4"/>
    <n v="8"/>
    <n v="3"/>
    <n v="0"/>
    <n v="7"/>
  </r>
  <r>
    <s v="No"/>
    <s v="Travel_Rarely"/>
    <x v="2"/>
    <s v="Current Employees"/>
    <x v="1"/>
    <x v="0"/>
    <x v="169"/>
    <x v="169"/>
    <x v="1"/>
    <x v="1"/>
    <x v="0"/>
    <s v="No"/>
    <s v="Y"/>
    <n v="2"/>
    <n v="-2"/>
    <n v="0"/>
    <x v="5"/>
    <x v="1"/>
    <m/>
    <n v="0"/>
    <n v="1"/>
    <n v="120"/>
    <n v="6"/>
    <x v="4"/>
    <x v="0"/>
    <n v="3"/>
    <n v="43"/>
    <n v="3"/>
    <n v="1"/>
    <x v="1"/>
    <n v="3038"/>
    <n v="12430"/>
    <n v="3"/>
    <n v="20"/>
    <n v="4"/>
    <n v="1"/>
    <n v="80"/>
    <n v="0"/>
    <n v="8"/>
    <n v="3"/>
    <n v="5"/>
    <n v="4"/>
    <n v="1"/>
    <n v="4"/>
  </r>
  <r>
    <s v="No"/>
    <s v="Travel_Rarely"/>
    <x v="2"/>
    <s v="Current Employees"/>
    <x v="1"/>
    <x v="4"/>
    <x v="170"/>
    <x v="170"/>
    <x v="1"/>
    <x v="1"/>
    <x v="1"/>
    <s v="Yes"/>
    <s v="Y"/>
    <n v="3"/>
    <n v="-2"/>
    <n v="0"/>
    <x v="4"/>
    <x v="1"/>
    <m/>
    <n v="0"/>
    <n v="1"/>
    <n v="1157"/>
    <n v="17"/>
    <x v="3"/>
    <x v="0"/>
    <n v="3"/>
    <n v="51"/>
    <n v="3"/>
    <n v="1"/>
    <x v="0"/>
    <n v="3058"/>
    <n v="13364"/>
    <n v="0"/>
    <n v="16"/>
    <n v="3"/>
    <n v="4"/>
    <n v="80"/>
    <n v="1"/>
    <n v="6"/>
    <n v="2"/>
    <n v="5"/>
    <n v="2"/>
    <n v="1"/>
    <n v="1"/>
  </r>
  <r>
    <s v="Yes"/>
    <s v="Travel_Frequently"/>
    <x v="4"/>
    <s v="Ex-Employees"/>
    <x v="0"/>
    <x v="4"/>
    <x v="171"/>
    <x v="171"/>
    <x v="0"/>
    <x v="6"/>
    <x v="0"/>
    <s v="No"/>
    <s v="Y"/>
    <n v="5"/>
    <n v="-2"/>
    <n v="0"/>
    <x v="37"/>
    <x v="0"/>
    <n v="1"/>
    <n v="1"/>
    <n v="0"/>
    <n v="602"/>
    <n v="1"/>
    <x v="1"/>
    <x v="0"/>
    <n v="3"/>
    <n v="100"/>
    <n v="1"/>
    <n v="1"/>
    <x v="0"/>
    <n v="2325"/>
    <n v="20989"/>
    <n v="0"/>
    <n v="21"/>
    <n v="4"/>
    <n v="1"/>
    <n v="80"/>
    <n v="0"/>
    <n v="1"/>
    <n v="4"/>
    <n v="0"/>
    <n v="0"/>
    <n v="0"/>
    <n v="0"/>
  </r>
  <r>
    <s v="No"/>
    <s v="Travel_Frequently"/>
    <x v="0"/>
    <s v="Current Employees"/>
    <x v="1"/>
    <x v="2"/>
    <x v="172"/>
    <x v="172"/>
    <x v="1"/>
    <x v="2"/>
    <x v="0"/>
    <s v="No"/>
    <s v="Y"/>
    <n v="3"/>
    <n v="-2"/>
    <n v="0"/>
    <x v="9"/>
    <x v="1"/>
    <m/>
    <n v="0"/>
    <n v="1"/>
    <n v="1480"/>
    <n v="3"/>
    <x v="0"/>
    <x v="0"/>
    <n v="4"/>
    <n v="30"/>
    <n v="3"/>
    <n v="1"/>
    <x v="2"/>
    <n v="2088"/>
    <n v="15062"/>
    <n v="4"/>
    <n v="12"/>
    <n v="3"/>
    <n v="3"/>
    <n v="80"/>
    <n v="0"/>
    <n v="13"/>
    <n v="2"/>
    <n v="8"/>
    <n v="7"/>
    <n v="7"/>
    <n v="2"/>
  </r>
  <r>
    <s v="No"/>
    <s v="Non-Travel"/>
    <x v="2"/>
    <s v="Current Employees"/>
    <x v="1"/>
    <x v="2"/>
    <x v="173"/>
    <x v="173"/>
    <x v="1"/>
    <x v="2"/>
    <x v="2"/>
    <s v="No"/>
    <s v="Y"/>
    <n v="4"/>
    <n v="-2"/>
    <n v="0"/>
    <x v="7"/>
    <x v="1"/>
    <m/>
    <n v="0"/>
    <n v="1"/>
    <n v="111"/>
    <n v="9"/>
    <x v="3"/>
    <x v="0"/>
    <n v="3"/>
    <n v="66"/>
    <n v="3"/>
    <n v="2"/>
    <x v="3"/>
    <n v="3072"/>
    <n v="11012"/>
    <n v="1"/>
    <n v="11"/>
    <n v="3"/>
    <n v="3"/>
    <n v="80"/>
    <n v="2"/>
    <n v="12"/>
    <n v="3"/>
    <n v="12"/>
    <n v="9"/>
    <n v="6"/>
    <n v="10"/>
  </r>
  <r>
    <s v="No"/>
    <s v="Travel_Rarely"/>
    <x v="1"/>
    <s v="Current Employees"/>
    <x v="0"/>
    <x v="0"/>
    <x v="174"/>
    <x v="174"/>
    <x v="0"/>
    <x v="0"/>
    <x v="2"/>
    <s v="Yes"/>
    <s v="Y"/>
    <n v="3"/>
    <n v="-2"/>
    <n v="0"/>
    <x v="28"/>
    <x v="1"/>
    <m/>
    <n v="0"/>
    <n v="1"/>
    <n v="1268"/>
    <n v="4"/>
    <x v="0"/>
    <x v="0"/>
    <n v="3"/>
    <n v="30"/>
    <n v="3"/>
    <n v="2"/>
    <x v="1"/>
    <n v="5006"/>
    <n v="6319"/>
    <n v="4"/>
    <n v="11"/>
    <n v="3"/>
    <n v="1"/>
    <n v="80"/>
    <n v="1"/>
    <n v="9"/>
    <n v="4"/>
    <n v="5"/>
    <n v="4"/>
    <n v="0"/>
    <n v="3"/>
  </r>
  <r>
    <s v="No"/>
    <s v="Travel_Rarely"/>
    <x v="3"/>
    <s v="Current Employees"/>
    <x v="1"/>
    <x v="0"/>
    <x v="175"/>
    <x v="175"/>
    <x v="0"/>
    <x v="1"/>
    <x v="2"/>
    <s v="Yes"/>
    <s v="Y"/>
    <n v="3"/>
    <n v="-2"/>
    <n v="0"/>
    <x v="29"/>
    <x v="1"/>
    <m/>
    <n v="0"/>
    <n v="1"/>
    <n v="713"/>
    <n v="8"/>
    <x v="3"/>
    <x v="0"/>
    <n v="3"/>
    <n v="67"/>
    <n v="3"/>
    <n v="1"/>
    <x v="1"/>
    <n v="4257"/>
    <n v="13939"/>
    <n v="4"/>
    <n v="18"/>
    <n v="3"/>
    <n v="3"/>
    <n v="80"/>
    <n v="1"/>
    <n v="19"/>
    <n v="3"/>
    <n v="2"/>
    <n v="2"/>
    <n v="2"/>
    <n v="2"/>
  </r>
  <r>
    <s v="No"/>
    <s v="Travel_Rarely"/>
    <x v="2"/>
    <s v="Current Employees"/>
    <x v="1"/>
    <x v="0"/>
    <x v="176"/>
    <x v="176"/>
    <x v="1"/>
    <x v="1"/>
    <x v="0"/>
    <s v="No"/>
    <s v="Y"/>
    <n v="2"/>
    <n v="-2"/>
    <n v="0"/>
    <x v="3"/>
    <x v="1"/>
    <m/>
    <n v="0"/>
    <n v="1"/>
    <n v="134"/>
    <n v="2"/>
    <x v="3"/>
    <x v="0"/>
    <n v="3"/>
    <n v="90"/>
    <n v="3"/>
    <n v="1"/>
    <x v="1"/>
    <n v="2500"/>
    <n v="10515"/>
    <n v="0"/>
    <n v="14"/>
    <n v="3"/>
    <n v="1"/>
    <n v="80"/>
    <n v="0"/>
    <n v="4"/>
    <n v="4"/>
    <n v="3"/>
    <n v="1"/>
    <n v="0"/>
    <n v="2"/>
  </r>
  <r>
    <s v="Yes"/>
    <s v="Travel_Rarely"/>
    <x v="4"/>
    <s v="Ex-Employees"/>
    <x v="1"/>
    <x v="0"/>
    <x v="177"/>
    <x v="177"/>
    <x v="1"/>
    <x v="2"/>
    <x v="0"/>
    <s v="No"/>
    <s v="Y"/>
    <n v="3"/>
    <n v="-2"/>
    <n v="0"/>
    <x v="37"/>
    <x v="0"/>
    <n v="1"/>
    <n v="1"/>
    <n v="0"/>
    <n v="303"/>
    <n v="2"/>
    <x v="3"/>
    <x v="0"/>
    <n v="2"/>
    <n v="47"/>
    <n v="2"/>
    <n v="1"/>
    <x v="1"/>
    <n v="1102"/>
    <n v="9241"/>
    <n v="1"/>
    <n v="22"/>
    <n v="4"/>
    <n v="3"/>
    <n v="80"/>
    <n v="0"/>
    <n v="1"/>
    <n v="2"/>
    <n v="1"/>
    <n v="0"/>
    <n v="1"/>
    <n v="0"/>
  </r>
  <r>
    <s v="No"/>
    <s v="Travel_Rarely"/>
    <x v="1"/>
    <s v="Current Employees"/>
    <x v="0"/>
    <x v="3"/>
    <x v="178"/>
    <x v="178"/>
    <x v="0"/>
    <x v="0"/>
    <x v="2"/>
    <s v="No"/>
    <s v="Y"/>
    <n v="2"/>
    <n v="-2"/>
    <n v="0"/>
    <x v="21"/>
    <x v="1"/>
    <m/>
    <n v="0"/>
    <n v="1"/>
    <n v="526"/>
    <n v="1"/>
    <x v="0"/>
    <x v="0"/>
    <n v="2"/>
    <n v="92"/>
    <n v="3"/>
    <n v="3"/>
    <x v="3"/>
    <n v="10453"/>
    <n v="2137"/>
    <n v="1"/>
    <n v="25"/>
    <n v="4"/>
    <n v="3"/>
    <n v="80"/>
    <n v="3"/>
    <n v="24"/>
    <n v="3"/>
    <n v="24"/>
    <n v="13"/>
    <n v="15"/>
    <n v="7"/>
  </r>
  <r>
    <s v="No"/>
    <s v="Travel_Rarely"/>
    <x v="0"/>
    <s v="Current Employees"/>
    <x v="1"/>
    <x v="0"/>
    <x v="179"/>
    <x v="179"/>
    <x v="0"/>
    <x v="2"/>
    <x v="0"/>
    <s v="No"/>
    <s v="Y"/>
    <n v="3"/>
    <n v="-2"/>
    <n v="0"/>
    <x v="8"/>
    <x v="1"/>
    <m/>
    <n v="0"/>
    <n v="1"/>
    <n v="1380"/>
    <n v="9"/>
    <x v="0"/>
    <x v="0"/>
    <n v="3"/>
    <n v="75"/>
    <n v="3"/>
    <n v="1"/>
    <x v="1"/>
    <n v="2288"/>
    <n v="6319"/>
    <n v="1"/>
    <n v="12"/>
    <n v="3"/>
    <n v="3"/>
    <n v="80"/>
    <n v="0"/>
    <n v="2"/>
    <n v="3"/>
    <n v="2"/>
    <n v="2"/>
    <n v="2"/>
    <n v="1"/>
  </r>
  <r>
    <s v="No"/>
    <s v="Travel_Rarely"/>
    <x v="2"/>
    <s v="Current Employees"/>
    <x v="1"/>
    <x v="2"/>
    <x v="180"/>
    <x v="180"/>
    <x v="0"/>
    <x v="1"/>
    <x v="1"/>
    <s v="Yes"/>
    <s v="Y"/>
    <n v="0"/>
    <n v="-2"/>
    <n v="0"/>
    <x v="12"/>
    <x v="1"/>
    <m/>
    <n v="0"/>
    <n v="1"/>
    <n v="140"/>
    <n v="12"/>
    <x v="1"/>
    <x v="0"/>
    <n v="3"/>
    <n v="95"/>
    <n v="3"/>
    <n v="1"/>
    <x v="0"/>
    <n v="3929"/>
    <n v="6984"/>
    <n v="8"/>
    <n v="23"/>
    <n v="4"/>
    <n v="3"/>
    <n v="80"/>
    <n v="1"/>
    <n v="7"/>
    <n v="3"/>
    <n v="4"/>
    <n v="2"/>
    <n v="0"/>
    <n v="2"/>
  </r>
  <r>
    <s v="No"/>
    <s v="Travel_Rarely"/>
    <x v="2"/>
    <s v="Current Employees"/>
    <x v="1"/>
    <x v="2"/>
    <x v="181"/>
    <x v="181"/>
    <x v="0"/>
    <x v="1"/>
    <x v="0"/>
    <s v="No"/>
    <s v="Y"/>
    <n v="3"/>
    <n v="-2"/>
    <n v="0"/>
    <x v="13"/>
    <x v="1"/>
    <m/>
    <n v="0"/>
    <n v="1"/>
    <n v="629"/>
    <n v="27"/>
    <x v="0"/>
    <x v="0"/>
    <n v="4"/>
    <n v="95"/>
    <n v="3"/>
    <n v="1"/>
    <x v="2"/>
    <n v="2311"/>
    <n v="5711"/>
    <n v="2"/>
    <n v="15"/>
    <n v="3"/>
    <n v="4"/>
    <n v="80"/>
    <n v="0"/>
    <n v="9"/>
    <n v="3"/>
    <n v="3"/>
    <n v="2"/>
    <n v="1"/>
    <n v="2"/>
  </r>
  <r>
    <s v="Yes"/>
    <s v="Travel_Rarely"/>
    <x v="0"/>
    <s v="Ex-Employees"/>
    <x v="0"/>
    <x v="3"/>
    <x v="182"/>
    <x v="182"/>
    <x v="0"/>
    <x v="6"/>
    <x v="0"/>
    <s v="Yes"/>
    <s v="Y"/>
    <n v="5"/>
    <n v="-2"/>
    <n v="0"/>
    <x v="0"/>
    <x v="0"/>
    <n v="1"/>
    <n v="1"/>
    <n v="0"/>
    <n v="1356"/>
    <n v="20"/>
    <x v="0"/>
    <x v="0"/>
    <n v="2"/>
    <n v="70"/>
    <n v="3"/>
    <n v="1"/>
    <x v="2"/>
    <n v="3140"/>
    <n v="21728"/>
    <n v="1"/>
    <n v="22"/>
    <n v="4"/>
    <n v="4"/>
    <n v="80"/>
    <n v="0"/>
    <n v="4"/>
    <n v="2"/>
    <n v="4"/>
    <n v="3"/>
    <n v="0"/>
    <n v="2"/>
  </r>
  <r>
    <s v="No"/>
    <s v="Travel_Rarely"/>
    <x v="1"/>
    <s v="Current Employees"/>
    <x v="1"/>
    <x v="2"/>
    <x v="183"/>
    <x v="183"/>
    <x v="1"/>
    <x v="2"/>
    <x v="1"/>
    <s v="No"/>
    <s v="Y"/>
    <n v="2"/>
    <n v="-2"/>
    <n v="0"/>
    <x v="24"/>
    <x v="1"/>
    <m/>
    <n v="0"/>
    <n v="1"/>
    <n v="328"/>
    <n v="1"/>
    <x v="3"/>
    <x v="0"/>
    <n v="3"/>
    <n v="86"/>
    <n v="2"/>
    <n v="1"/>
    <x v="2"/>
    <n v="3690"/>
    <n v="3425"/>
    <n v="2"/>
    <n v="15"/>
    <n v="3"/>
    <n v="4"/>
    <n v="80"/>
    <n v="1"/>
    <n v="5"/>
    <n v="2"/>
    <n v="3"/>
    <n v="2"/>
    <n v="0"/>
    <n v="2"/>
  </r>
  <r>
    <s v="No"/>
    <s v="Travel_Rarely"/>
    <x v="1"/>
    <s v="Current Employees"/>
    <x v="1"/>
    <x v="2"/>
    <x v="184"/>
    <x v="184"/>
    <x v="0"/>
    <x v="3"/>
    <x v="2"/>
    <s v="No"/>
    <s v="Y"/>
    <n v="3"/>
    <n v="-2"/>
    <n v="0"/>
    <x v="16"/>
    <x v="1"/>
    <m/>
    <n v="0"/>
    <n v="1"/>
    <n v="1084"/>
    <n v="13"/>
    <x v="0"/>
    <x v="0"/>
    <n v="4"/>
    <n v="57"/>
    <n v="4"/>
    <n v="2"/>
    <x v="2"/>
    <n v="4450"/>
    <n v="26250"/>
    <n v="1"/>
    <n v="11"/>
    <n v="3"/>
    <n v="3"/>
    <n v="80"/>
    <n v="2"/>
    <n v="5"/>
    <n v="3"/>
    <n v="4"/>
    <n v="2"/>
    <n v="1"/>
    <n v="3"/>
  </r>
  <r>
    <s v="No"/>
    <s v="Travel_Rarely"/>
    <x v="2"/>
    <s v="Current Employees"/>
    <x v="1"/>
    <x v="2"/>
    <x v="185"/>
    <x v="185"/>
    <x v="0"/>
    <x v="1"/>
    <x v="1"/>
    <s v="No"/>
    <s v="Y"/>
    <n v="5"/>
    <n v="-2"/>
    <n v="0"/>
    <x v="3"/>
    <x v="1"/>
    <m/>
    <n v="0"/>
    <n v="1"/>
    <n v="931"/>
    <n v="14"/>
    <x v="3"/>
    <x v="0"/>
    <n v="4"/>
    <n v="72"/>
    <n v="3"/>
    <n v="1"/>
    <x v="2"/>
    <n v="2756"/>
    <n v="4673"/>
    <n v="1"/>
    <n v="13"/>
    <n v="3"/>
    <n v="4"/>
    <n v="80"/>
    <n v="1"/>
    <n v="8"/>
    <n v="3"/>
    <n v="8"/>
    <n v="7"/>
    <n v="1"/>
    <n v="6"/>
  </r>
  <r>
    <s v="No"/>
    <s v="Travel_Rarely"/>
    <x v="0"/>
    <s v="Current Employees"/>
    <x v="1"/>
    <x v="2"/>
    <x v="186"/>
    <x v="186"/>
    <x v="0"/>
    <x v="5"/>
    <x v="1"/>
    <s v="No"/>
    <s v="Y"/>
    <n v="2"/>
    <n v="-2"/>
    <n v="0"/>
    <x v="32"/>
    <x v="1"/>
    <m/>
    <n v="0"/>
    <n v="1"/>
    <n v="989"/>
    <n v="4"/>
    <x v="1"/>
    <x v="0"/>
    <n v="4"/>
    <n v="46"/>
    <n v="3"/>
    <n v="5"/>
    <x v="2"/>
    <n v="19033"/>
    <n v="6499"/>
    <n v="1"/>
    <n v="14"/>
    <n v="3"/>
    <n v="2"/>
    <n v="80"/>
    <n v="1"/>
    <n v="21"/>
    <n v="3"/>
    <n v="20"/>
    <n v="8"/>
    <n v="9"/>
    <n v="9"/>
  </r>
  <r>
    <s v="No"/>
    <s v="Travel_Rarely"/>
    <x v="3"/>
    <s v="Current Employees"/>
    <x v="1"/>
    <x v="2"/>
    <x v="187"/>
    <x v="187"/>
    <x v="1"/>
    <x v="7"/>
    <x v="0"/>
    <s v="No"/>
    <s v="Y"/>
    <n v="3"/>
    <n v="-2"/>
    <n v="0"/>
    <x v="27"/>
    <x v="1"/>
    <m/>
    <n v="0"/>
    <n v="1"/>
    <n v="692"/>
    <n v="14"/>
    <x v="2"/>
    <x v="0"/>
    <n v="3"/>
    <n v="61"/>
    <n v="4"/>
    <n v="5"/>
    <x v="2"/>
    <n v="18722"/>
    <n v="13339"/>
    <n v="8"/>
    <n v="11"/>
    <n v="3"/>
    <n v="4"/>
    <n v="80"/>
    <n v="0"/>
    <n v="36"/>
    <n v="3"/>
    <n v="24"/>
    <n v="15"/>
    <n v="2"/>
    <n v="15"/>
  </r>
  <r>
    <s v="No"/>
    <s v="Travel_Frequently"/>
    <x v="2"/>
    <s v="Current Employees"/>
    <x v="1"/>
    <x v="0"/>
    <x v="188"/>
    <x v="188"/>
    <x v="1"/>
    <x v="3"/>
    <x v="1"/>
    <s v="No"/>
    <s v="Y"/>
    <n v="2"/>
    <n v="-2"/>
    <n v="0"/>
    <x v="13"/>
    <x v="1"/>
    <m/>
    <n v="0"/>
    <n v="1"/>
    <n v="1069"/>
    <n v="2"/>
    <x v="1"/>
    <x v="0"/>
    <n v="4"/>
    <n v="45"/>
    <n v="2"/>
    <n v="2"/>
    <x v="1"/>
    <n v="9547"/>
    <n v="14074"/>
    <n v="1"/>
    <n v="17"/>
    <n v="3"/>
    <n v="3"/>
    <n v="80"/>
    <n v="0"/>
    <n v="10"/>
    <n v="2"/>
    <n v="10"/>
    <n v="9"/>
    <n v="1"/>
    <n v="9"/>
  </r>
  <r>
    <s v="No"/>
    <s v="Travel_Rarely"/>
    <x v="1"/>
    <s v="Current Employees"/>
    <x v="1"/>
    <x v="2"/>
    <x v="189"/>
    <x v="189"/>
    <x v="0"/>
    <x v="4"/>
    <x v="0"/>
    <s v="No"/>
    <s v="Y"/>
    <n v="6"/>
    <n v="-2"/>
    <n v="0"/>
    <x v="31"/>
    <x v="1"/>
    <m/>
    <n v="0"/>
    <n v="1"/>
    <n v="313"/>
    <n v="3"/>
    <x v="3"/>
    <x v="0"/>
    <n v="4"/>
    <n v="98"/>
    <n v="3"/>
    <n v="4"/>
    <x v="2"/>
    <n v="13734"/>
    <n v="7192"/>
    <n v="3"/>
    <n v="18"/>
    <n v="3"/>
    <n v="3"/>
    <n v="80"/>
    <n v="0"/>
    <n v="21"/>
    <n v="3"/>
    <n v="7"/>
    <n v="7"/>
    <n v="1"/>
    <n v="0"/>
  </r>
  <r>
    <s v="No"/>
    <s v="Travel_Rarely"/>
    <x v="1"/>
    <s v="Current Employees"/>
    <x v="1"/>
    <x v="0"/>
    <x v="190"/>
    <x v="190"/>
    <x v="1"/>
    <x v="5"/>
    <x v="1"/>
    <s v="No"/>
    <s v="Y"/>
    <n v="5"/>
    <n v="-2"/>
    <n v="0"/>
    <x v="39"/>
    <x v="1"/>
    <m/>
    <n v="0"/>
    <n v="1"/>
    <n v="699"/>
    <n v="1"/>
    <x v="2"/>
    <x v="0"/>
    <n v="3"/>
    <n v="65"/>
    <n v="2"/>
    <n v="5"/>
    <x v="1"/>
    <n v="19999"/>
    <n v="5678"/>
    <n v="0"/>
    <n v="14"/>
    <n v="3"/>
    <n v="1"/>
    <n v="80"/>
    <n v="1"/>
    <n v="34"/>
    <n v="3"/>
    <n v="33"/>
    <n v="18"/>
    <n v="11"/>
    <n v="9"/>
  </r>
  <r>
    <s v="No"/>
    <s v="Travel_Rarely"/>
    <x v="2"/>
    <s v="Current Employees"/>
    <x v="1"/>
    <x v="2"/>
    <x v="191"/>
    <x v="191"/>
    <x v="0"/>
    <x v="1"/>
    <x v="0"/>
    <s v="No"/>
    <s v="Y"/>
    <n v="2"/>
    <n v="-2"/>
    <n v="0"/>
    <x v="4"/>
    <x v="1"/>
    <m/>
    <n v="0"/>
    <n v="1"/>
    <n v="894"/>
    <n v="9"/>
    <x v="3"/>
    <x v="0"/>
    <n v="4"/>
    <n v="99"/>
    <n v="3"/>
    <n v="1"/>
    <x v="2"/>
    <n v="2279"/>
    <n v="11781"/>
    <n v="1"/>
    <n v="16"/>
    <n v="3"/>
    <n v="4"/>
    <n v="80"/>
    <n v="0"/>
    <n v="7"/>
    <n v="2"/>
    <n v="7"/>
    <n v="7"/>
    <n v="0"/>
    <n v="3"/>
  </r>
  <r>
    <s v="Yes"/>
    <s v="Travel_Rarely"/>
    <x v="0"/>
    <s v="Ex-Employees"/>
    <x v="1"/>
    <x v="0"/>
    <x v="192"/>
    <x v="192"/>
    <x v="1"/>
    <x v="3"/>
    <x v="1"/>
    <s v="Yes"/>
    <s v="Y"/>
    <n v="1"/>
    <n v="-2"/>
    <n v="0"/>
    <x v="10"/>
    <x v="0"/>
    <n v="1"/>
    <n v="1"/>
    <n v="0"/>
    <n v="556"/>
    <n v="23"/>
    <x v="0"/>
    <x v="0"/>
    <n v="2"/>
    <n v="50"/>
    <n v="2"/>
    <n v="2"/>
    <x v="1"/>
    <n v="5916"/>
    <n v="15497"/>
    <n v="3"/>
    <n v="13"/>
    <n v="3"/>
    <n v="1"/>
    <n v="80"/>
    <n v="0"/>
    <n v="8"/>
    <n v="3"/>
    <n v="1"/>
    <n v="0"/>
    <n v="0"/>
    <n v="1"/>
  </r>
  <r>
    <s v="No"/>
    <s v="Non-Travel"/>
    <x v="0"/>
    <s v="Current Employees"/>
    <x v="1"/>
    <x v="2"/>
    <x v="193"/>
    <x v="193"/>
    <x v="1"/>
    <x v="1"/>
    <x v="2"/>
    <s v="No"/>
    <s v="Y"/>
    <n v="3"/>
    <n v="-2"/>
    <n v="0"/>
    <x v="23"/>
    <x v="1"/>
    <m/>
    <n v="0"/>
    <n v="1"/>
    <n v="1344"/>
    <n v="7"/>
    <x v="3"/>
    <x v="0"/>
    <n v="4"/>
    <n v="37"/>
    <n v="4"/>
    <n v="1"/>
    <x v="0"/>
    <n v="2089"/>
    <n v="5228"/>
    <n v="4"/>
    <n v="14"/>
    <n v="3"/>
    <n v="4"/>
    <n v="80"/>
    <n v="3"/>
    <n v="7"/>
    <n v="4"/>
    <n v="5"/>
    <n v="4"/>
    <n v="2"/>
    <n v="2"/>
  </r>
  <r>
    <s v="No"/>
    <s v="Non-Travel"/>
    <x v="1"/>
    <s v="Current Employees"/>
    <x v="1"/>
    <x v="2"/>
    <x v="194"/>
    <x v="194"/>
    <x v="1"/>
    <x v="5"/>
    <x v="1"/>
    <s v="No"/>
    <s v="Y"/>
    <n v="1"/>
    <n v="-2"/>
    <n v="0"/>
    <x v="28"/>
    <x v="1"/>
    <m/>
    <n v="0"/>
    <n v="1"/>
    <n v="1195"/>
    <n v="2"/>
    <x v="0"/>
    <x v="0"/>
    <n v="1"/>
    <n v="65"/>
    <n v="2"/>
    <n v="4"/>
    <x v="0"/>
    <n v="16792"/>
    <n v="20462"/>
    <n v="9"/>
    <n v="23"/>
    <n v="4"/>
    <n v="4"/>
    <n v="80"/>
    <n v="1"/>
    <n v="22"/>
    <n v="3"/>
    <n v="20"/>
    <n v="8"/>
    <n v="11"/>
    <n v="8"/>
  </r>
  <r>
    <s v="No"/>
    <s v="Travel_Rarely"/>
    <x v="0"/>
    <s v="Current Employees"/>
    <x v="1"/>
    <x v="0"/>
    <x v="195"/>
    <x v="195"/>
    <x v="1"/>
    <x v="1"/>
    <x v="1"/>
    <s v="Yes"/>
    <s v="Y"/>
    <n v="3"/>
    <n v="-2"/>
    <n v="0"/>
    <x v="2"/>
    <x v="1"/>
    <m/>
    <n v="0"/>
    <n v="1"/>
    <n v="290"/>
    <n v="21"/>
    <x v="3"/>
    <x v="0"/>
    <n v="2"/>
    <n v="65"/>
    <n v="4"/>
    <n v="1"/>
    <x v="1"/>
    <n v="3564"/>
    <n v="22977"/>
    <n v="1"/>
    <n v="12"/>
    <n v="3"/>
    <n v="1"/>
    <n v="80"/>
    <n v="1"/>
    <n v="8"/>
    <n v="2"/>
    <n v="8"/>
    <n v="7"/>
    <n v="1"/>
    <n v="7"/>
  </r>
  <r>
    <s v="No"/>
    <s v="Travel_Frequently"/>
    <x v="0"/>
    <s v="Current Employees"/>
    <x v="1"/>
    <x v="2"/>
    <x v="196"/>
    <x v="196"/>
    <x v="0"/>
    <x v="2"/>
    <x v="0"/>
    <s v="No"/>
    <s v="Y"/>
    <n v="5"/>
    <n v="-2"/>
    <n v="0"/>
    <x v="10"/>
    <x v="1"/>
    <m/>
    <n v="0"/>
    <n v="1"/>
    <n v="138"/>
    <n v="2"/>
    <x v="3"/>
    <x v="0"/>
    <n v="2"/>
    <n v="37"/>
    <n v="3"/>
    <n v="2"/>
    <x v="2"/>
    <n v="4425"/>
    <n v="15986"/>
    <n v="5"/>
    <n v="11"/>
    <n v="3"/>
    <n v="4"/>
    <n v="80"/>
    <n v="0"/>
    <n v="10"/>
    <n v="3"/>
    <n v="6"/>
    <n v="2"/>
    <n v="1"/>
    <n v="2"/>
  </r>
  <r>
    <s v="No"/>
    <s v="Non-Travel"/>
    <x v="0"/>
    <s v="Current Employees"/>
    <x v="1"/>
    <x v="2"/>
    <x v="197"/>
    <x v="197"/>
    <x v="0"/>
    <x v="3"/>
    <x v="2"/>
    <s v="No"/>
    <s v="Y"/>
    <n v="5"/>
    <n v="-2"/>
    <n v="0"/>
    <x v="19"/>
    <x v="1"/>
    <m/>
    <n v="0"/>
    <n v="1"/>
    <n v="926"/>
    <n v="21"/>
    <x v="0"/>
    <x v="0"/>
    <n v="3"/>
    <n v="36"/>
    <n v="3"/>
    <n v="2"/>
    <x v="2"/>
    <n v="5265"/>
    <n v="16439"/>
    <n v="2"/>
    <n v="16"/>
    <n v="3"/>
    <n v="2"/>
    <n v="80"/>
    <n v="1"/>
    <n v="11"/>
    <n v="3"/>
    <n v="5"/>
    <n v="3"/>
    <n v="0"/>
    <n v="2"/>
  </r>
  <r>
    <s v="No"/>
    <s v="Travel_Rarely"/>
    <x v="0"/>
    <s v="Current Employees"/>
    <x v="1"/>
    <x v="0"/>
    <x v="198"/>
    <x v="198"/>
    <x v="1"/>
    <x v="3"/>
    <x v="1"/>
    <s v="No"/>
    <s v="Y"/>
    <n v="3"/>
    <n v="-2"/>
    <n v="0"/>
    <x v="8"/>
    <x v="1"/>
    <m/>
    <n v="0"/>
    <n v="1"/>
    <n v="1261"/>
    <n v="2"/>
    <x v="2"/>
    <x v="0"/>
    <n v="4"/>
    <n v="88"/>
    <n v="3"/>
    <n v="2"/>
    <x v="1"/>
    <n v="6553"/>
    <n v="7259"/>
    <n v="9"/>
    <n v="14"/>
    <n v="3"/>
    <n v="2"/>
    <n v="80"/>
    <n v="0"/>
    <n v="14"/>
    <n v="3"/>
    <n v="1"/>
    <n v="0"/>
    <n v="0"/>
    <n v="0"/>
  </r>
  <r>
    <s v="No"/>
    <s v="Travel_Rarely"/>
    <x v="0"/>
    <s v="Current Employees"/>
    <x v="1"/>
    <x v="4"/>
    <x v="199"/>
    <x v="199"/>
    <x v="1"/>
    <x v="3"/>
    <x v="1"/>
    <s v="No"/>
    <s v="Y"/>
    <n v="3"/>
    <n v="-2"/>
    <n v="0"/>
    <x v="8"/>
    <x v="1"/>
    <m/>
    <n v="0"/>
    <n v="1"/>
    <n v="1084"/>
    <n v="29"/>
    <x v="3"/>
    <x v="0"/>
    <n v="4"/>
    <n v="54"/>
    <n v="3"/>
    <n v="2"/>
    <x v="0"/>
    <n v="6261"/>
    <n v="4185"/>
    <n v="3"/>
    <n v="18"/>
    <n v="3"/>
    <n v="1"/>
    <n v="80"/>
    <n v="1"/>
    <n v="9"/>
    <n v="1"/>
    <n v="7"/>
    <n v="7"/>
    <n v="1"/>
    <n v="7"/>
  </r>
  <r>
    <s v="No"/>
    <s v="Travel_Frequently"/>
    <x v="2"/>
    <s v="Current Employees"/>
    <x v="1"/>
    <x v="4"/>
    <x v="200"/>
    <x v="200"/>
    <x v="1"/>
    <x v="3"/>
    <x v="1"/>
    <s v="No"/>
    <s v="Y"/>
    <n v="1"/>
    <n v="-2"/>
    <n v="0"/>
    <x v="4"/>
    <x v="1"/>
    <m/>
    <n v="0"/>
    <n v="1"/>
    <n v="472"/>
    <n v="1"/>
    <x v="1"/>
    <x v="0"/>
    <n v="3"/>
    <n v="60"/>
    <n v="2"/>
    <n v="2"/>
    <x v="0"/>
    <n v="4298"/>
    <n v="9679"/>
    <n v="5"/>
    <n v="19"/>
    <n v="3"/>
    <n v="3"/>
    <n v="80"/>
    <n v="1"/>
    <n v="6"/>
    <n v="3"/>
    <n v="2"/>
    <n v="2"/>
    <n v="2"/>
    <n v="0"/>
  </r>
  <r>
    <s v="No"/>
    <s v="Non-Travel"/>
    <x v="1"/>
    <s v="Current Employees"/>
    <x v="1"/>
    <x v="0"/>
    <x v="201"/>
    <x v="201"/>
    <x v="1"/>
    <x v="3"/>
    <x v="2"/>
    <s v="Yes"/>
    <s v="Y"/>
    <n v="0"/>
    <n v="-2"/>
    <n v="0"/>
    <x v="1"/>
    <x v="1"/>
    <m/>
    <n v="0"/>
    <n v="1"/>
    <n v="1002"/>
    <n v="18"/>
    <x v="2"/>
    <x v="0"/>
    <n v="4"/>
    <n v="92"/>
    <n v="3"/>
    <n v="2"/>
    <x v="1"/>
    <n v="6804"/>
    <n v="23793"/>
    <n v="1"/>
    <n v="15"/>
    <n v="3"/>
    <n v="1"/>
    <n v="80"/>
    <n v="2"/>
    <n v="7"/>
    <n v="3"/>
    <n v="7"/>
    <n v="7"/>
    <n v="1"/>
    <n v="7"/>
  </r>
  <r>
    <s v="No"/>
    <s v="Travel_Frequently"/>
    <x v="2"/>
    <s v="Current Employees"/>
    <x v="1"/>
    <x v="2"/>
    <x v="202"/>
    <x v="202"/>
    <x v="1"/>
    <x v="1"/>
    <x v="2"/>
    <s v="Yes"/>
    <s v="Y"/>
    <n v="4"/>
    <n v="-2"/>
    <n v="0"/>
    <x v="13"/>
    <x v="1"/>
    <m/>
    <n v="0"/>
    <n v="1"/>
    <n v="878"/>
    <n v="10"/>
    <x v="2"/>
    <x v="0"/>
    <n v="4"/>
    <n v="43"/>
    <n v="3"/>
    <n v="1"/>
    <x v="2"/>
    <n v="3815"/>
    <n v="5972"/>
    <n v="1"/>
    <n v="17"/>
    <n v="3"/>
    <n v="4"/>
    <n v="80"/>
    <n v="1"/>
    <n v="5"/>
    <n v="4"/>
    <n v="5"/>
    <n v="3"/>
    <n v="2"/>
    <n v="0"/>
  </r>
  <r>
    <s v="No"/>
    <s v="Travel_Rarely"/>
    <x v="0"/>
    <s v="Current Employees"/>
    <x v="1"/>
    <x v="2"/>
    <x v="203"/>
    <x v="203"/>
    <x v="1"/>
    <x v="2"/>
    <x v="1"/>
    <s v="Yes"/>
    <s v="Y"/>
    <n v="2"/>
    <n v="-2"/>
    <n v="0"/>
    <x v="32"/>
    <x v="1"/>
    <m/>
    <n v="0"/>
    <n v="1"/>
    <n v="905"/>
    <n v="19"/>
    <x v="0"/>
    <x v="0"/>
    <n v="3"/>
    <n v="99"/>
    <n v="3"/>
    <n v="2"/>
    <x v="0"/>
    <n v="2741"/>
    <n v="16523"/>
    <n v="8"/>
    <n v="15"/>
    <n v="3"/>
    <n v="3"/>
    <n v="80"/>
    <n v="1"/>
    <n v="15"/>
    <n v="4"/>
    <n v="7"/>
    <n v="2"/>
    <n v="3"/>
    <n v="7"/>
  </r>
  <r>
    <s v="Yes"/>
    <s v="Travel_Rarely"/>
    <x v="0"/>
    <s v="Ex-Employees"/>
    <x v="1"/>
    <x v="2"/>
    <x v="204"/>
    <x v="204"/>
    <x v="1"/>
    <x v="4"/>
    <x v="1"/>
    <s v="Yes"/>
    <s v="Y"/>
    <n v="2"/>
    <n v="-2"/>
    <n v="0"/>
    <x v="8"/>
    <x v="0"/>
    <n v="1"/>
    <n v="1"/>
    <n v="0"/>
    <n v="1180"/>
    <n v="29"/>
    <x v="1"/>
    <x v="0"/>
    <n v="2"/>
    <n v="70"/>
    <n v="3"/>
    <n v="2"/>
    <x v="2"/>
    <n v="6673"/>
    <n v="11354"/>
    <n v="7"/>
    <n v="19"/>
    <n v="3"/>
    <n v="2"/>
    <n v="80"/>
    <n v="0"/>
    <n v="17"/>
    <n v="3"/>
    <n v="1"/>
    <n v="0"/>
    <n v="0"/>
    <n v="0"/>
  </r>
  <r>
    <s v="Yes"/>
    <s v="Travel_Rarely"/>
    <x v="2"/>
    <s v="Ex-Employees"/>
    <x v="0"/>
    <x v="3"/>
    <x v="205"/>
    <x v="205"/>
    <x v="0"/>
    <x v="0"/>
    <x v="1"/>
    <s v="No"/>
    <s v="Y"/>
    <n v="3"/>
    <n v="-2"/>
    <n v="0"/>
    <x v="11"/>
    <x v="0"/>
    <n v="1"/>
    <n v="1"/>
    <n v="0"/>
    <n v="121"/>
    <n v="27"/>
    <x v="3"/>
    <x v="0"/>
    <n v="2"/>
    <n v="35"/>
    <n v="3"/>
    <n v="3"/>
    <x v="0"/>
    <n v="7639"/>
    <n v="24525"/>
    <n v="1"/>
    <n v="22"/>
    <n v="4"/>
    <n v="4"/>
    <n v="80"/>
    <n v="3"/>
    <n v="10"/>
    <n v="2"/>
    <n v="10"/>
    <n v="4"/>
    <n v="1"/>
    <n v="9"/>
  </r>
  <r>
    <s v="No"/>
    <s v="Travel_Rarely"/>
    <x v="4"/>
    <s v="Current Employees"/>
    <x v="1"/>
    <x v="0"/>
    <x v="206"/>
    <x v="206"/>
    <x v="1"/>
    <x v="1"/>
    <x v="2"/>
    <s v="Yes"/>
    <s v="Y"/>
    <n v="2"/>
    <n v="-2"/>
    <n v="0"/>
    <x v="15"/>
    <x v="1"/>
    <m/>
    <n v="0"/>
    <n v="1"/>
    <n v="1136"/>
    <n v="5"/>
    <x v="3"/>
    <x v="0"/>
    <n v="4"/>
    <n v="60"/>
    <n v="4"/>
    <n v="1"/>
    <x v="1"/>
    <n v="2328"/>
    <n v="12392"/>
    <n v="1"/>
    <n v="16"/>
    <n v="3"/>
    <n v="1"/>
    <n v="80"/>
    <n v="1"/>
    <n v="4"/>
    <n v="2"/>
    <n v="4"/>
    <n v="2"/>
    <n v="2"/>
    <n v="2"/>
  </r>
  <r>
    <s v="No"/>
    <s v="Travel_Frequently"/>
    <x v="0"/>
    <s v="Current Employees"/>
    <x v="1"/>
    <x v="2"/>
    <x v="207"/>
    <x v="207"/>
    <x v="0"/>
    <x v="2"/>
    <x v="0"/>
    <s v="No"/>
    <s v="Y"/>
    <n v="2"/>
    <n v="-2"/>
    <n v="0"/>
    <x v="9"/>
    <x v="1"/>
    <m/>
    <n v="0"/>
    <n v="1"/>
    <n v="635"/>
    <n v="18"/>
    <x v="1"/>
    <x v="0"/>
    <n v="2"/>
    <n v="73"/>
    <n v="3"/>
    <n v="1"/>
    <x v="0"/>
    <n v="2153"/>
    <n v="7703"/>
    <n v="1"/>
    <n v="13"/>
    <n v="3"/>
    <n v="1"/>
    <n v="80"/>
    <n v="0"/>
    <n v="8"/>
    <n v="3"/>
    <n v="8"/>
    <n v="1"/>
    <n v="1"/>
    <n v="7"/>
  </r>
  <r>
    <s v="No"/>
    <s v="Non-Travel"/>
    <x v="0"/>
    <s v="Current Employees"/>
    <x v="1"/>
    <x v="0"/>
    <x v="208"/>
    <x v="208"/>
    <x v="1"/>
    <x v="4"/>
    <x v="1"/>
    <s v="No"/>
    <s v="Y"/>
    <n v="5"/>
    <n v="-2"/>
    <n v="0"/>
    <x v="32"/>
    <x v="1"/>
    <m/>
    <n v="0"/>
    <n v="1"/>
    <n v="1151"/>
    <n v="9"/>
    <x v="4"/>
    <x v="0"/>
    <n v="4"/>
    <n v="63"/>
    <n v="2"/>
    <n v="2"/>
    <x v="1"/>
    <n v="4876"/>
    <n v="14242"/>
    <n v="9"/>
    <n v="14"/>
    <n v="3"/>
    <n v="4"/>
    <n v="80"/>
    <n v="1"/>
    <n v="5"/>
    <n v="1"/>
    <n v="3"/>
    <n v="2"/>
    <n v="0"/>
    <n v="2"/>
  </r>
  <r>
    <s v="No"/>
    <s v="Travel_Rarely"/>
    <x v="1"/>
    <s v="Current Employees"/>
    <x v="1"/>
    <x v="2"/>
    <x v="209"/>
    <x v="209"/>
    <x v="1"/>
    <x v="4"/>
    <x v="2"/>
    <s v="No"/>
    <s v="Y"/>
    <n v="3"/>
    <n v="-2"/>
    <n v="0"/>
    <x v="21"/>
    <x v="1"/>
    <m/>
    <n v="0"/>
    <n v="1"/>
    <n v="644"/>
    <n v="1"/>
    <x v="2"/>
    <x v="0"/>
    <n v="4"/>
    <n v="97"/>
    <n v="3"/>
    <n v="3"/>
    <x v="2"/>
    <n v="9396"/>
    <n v="12368"/>
    <n v="7"/>
    <n v="16"/>
    <n v="3"/>
    <n v="3"/>
    <n v="80"/>
    <n v="1"/>
    <n v="17"/>
    <n v="3"/>
    <n v="4"/>
    <n v="2"/>
    <n v="0"/>
    <n v="3"/>
  </r>
  <r>
    <s v="Yes"/>
    <s v="Travel_Rarely"/>
    <x v="2"/>
    <s v="Ex-Employees"/>
    <x v="0"/>
    <x v="2"/>
    <x v="210"/>
    <x v="210"/>
    <x v="1"/>
    <x v="0"/>
    <x v="1"/>
    <s v="No"/>
    <s v="Y"/>
    <n v="2"/>
    <n v="-2"/>
    <n v="0"/>
    <x v="5"/>
    <x v="0"/>
    <n v="1"/>
    <n v="1"/>
    <n v="0"/>
    <n v="1045"/>
    <n v="4"/>
    <x v="2"/>
    <x v="0"/>
    <n v="4"/>
    <n v="32"/>
    <n v="1"/>
    <n v="3"/>
    <x v="0"/>
    <n v="10400"/>
    <n v="25812"/>
    <n v="1"/>
    <n v="11"/>
    <n v="3"/>
    <n v="3"/>
    <n v="80"/>
    <n v="0"/>
    <n v="14"/>
    <n v="2"/>
    <n v="14"/>
    <n v="8"/>
    <n v="9"/>
    <n v="8"/>
  </r>
  <r>
    <s v="No"/>
    <s v="Non-Travel"/>
    <x v="2"/>
    <s v="Current Employees"/>
    <x v="1"/>
    <x v="0"/>
    <x v="211"/>
    <x v="211"/>
    <x v="1"/>
    <x v="3"/>
    <x v="0"/>
    <s v="No"/>
    <s v="Y"/>
    <n v="2"/>
    <n v="-2"/>
    <n v="0"/>
    <x v="7"/>
    <x v="1"/>
    <m/>
    <n v="0"/>
    <n v="1"/>
    <n v="829"/>
    <n v="1"/>
    <x v="1"/>
    <x v="0"/>
    <n v="3"/>
    <n v="88"/>
    <n v="2"/>
    <n v="3"/>
    <x v="1"/>
    <n v="8474"/>
    <n v="20925"/>
    <n v="1"/>
    <n v="22"/>
    <n v="4"/>
    <n v="3"/>
    <n v="80"/>
    <n v="0"/>
    <n v="12"/>
    <n v="3"/>
    <n v="11"/>
    <n v="8"/>
    <n v="5"/>
    <n v="8"/>
  </r>
  <r>
    <s v="No"/>
    <s v="Travel_Frequently"/>
    <x v="2"/>
    <s v="Current Employees"/>
    <x v="0"/>
    <x v="0"/>
    <x v="212"/>
    <x v="212"/>
    <x v="0"/>
    <x v="0"/>
    <x v="0"/>
    <s v="No"/>
    <s v="Y"/>
    <n v="2"/>
    <n v="-2"/>
    <n v="0"/>
    <x v="4"/>
    <x v="1"/>
    <m/>
    <n v="0"/>
    <n v="1"/>
    <n v="1242"/>
    <n v="20"/>
    <x v="3"/>
    <x v="0"/>
    <n v="4"/>
    <n v="90"/>
    <n v="3"/>
    <n v="2"/>
    <x v="1"/>
    <n v="9981"/>
    <n v="12916"/>
    <n v="1"/>
    <n v="14"/>
    <n v="3"/>
    <n v="4"/>
    <n v="80"/>
    <n v="0"/>
    <n v="7"/>
    <n v="3"/>
    <n v="7"/>
    <n v="7"/>
    <n v="0"/>
    <n v="7"/>
  </r>
  <r>
    <s v="No"/>
    <s v="Travel_Rarely"/>
    <x v="1"/>
    <s v="Current Employees"/>
    <x v="1"/>
    <x v="0"/>
    <x v="213"/>
    <x v="213"/>
    <x v="1"/>
    <x v="7"/>
    <x v="1"/>
    <s v="No"/>
    <s v="Y"/>
    <n v="5"/>
    <n v="-2"/>
    <n v="0"/>
    <x v="31"/>
    <x v="1"/>
    <m/>
    <n v="0"/>
    <n v="1"/>
    <n v="1469"/>
    <n v="8"/>
    <x v="2"/>
    <x v="0"/>
    <n v="2"/>
    <n v="81"/>
    <n v="2"/>
    <n v="3"/>
    <x v="1"/>
    <n v="12490"/>
    <n v="15736"/>
    <n v="5"/>
    <n v="16"/>
    <n v="3"/>
    <n v="4"/>
    <n v="80"/>
    <n v="2"/>
    <n v="16"/>
    <n v="1"/>
    <n v="10"/>
    <n v="9"/>
    <n v="4"/>
    <n v="7"/>
  </r>
  <r>
    <s v="Yes"/>
    <s v="Travel_Rarely"/>
    <x v="2"/>
    <s v="Ex-Employees"/>
    <x v="1"/>
    <x v="4"/>
    <x v="214"/>
    <x v="214"/>
    <x v="0"/>
    <x v="1"/>
    <x v="0"/>
    <s v="Yes"/>
    <s v="Y"/>
    <n v="5"/>
    <n v="-2"/>
    <n v="0"/>
    <x v="7"/>
    <x v="0"/>
    <n v="1"/>
    <n v="1"/>
    <n v="0"/>
    <n v="1005"/>
    <n v="3"/>
    <x v="3"/>
    <x v="0"/>
    <n v="4"/>
    <n v="88"/>
    <n v="3"/>
    <n v="1"/>
    <x v="0"/>
    <n v="2657"/>
    <n v="8556"/>
    <n v="5"/>
    <n v="11"/>
    <n v="3"/>
    <n v="3"/>
    <n v="80"/>
    <n v="0"/>
    <n v="8"/>
    <n v="3"/>
    <n v="5"/>
    <n v="2"/>
    <n v="0"/>
    <n v="4"/>
  </r>
  <r>
    <s v="No"/>
    <s v="Travel_Rarely"/>
    <x v="0"/>
    <s v="Current Employees"/>
    <x v="0"/>
    <x v="0"/>
    <x v="215"/>
    <x v="215"/>
    <x v="0"/>
    <x v="5"/>
    <x v="0"/>
    <s v="Yes"/>
    <s v="Y"/>
    <n v="3"/>
    <n v="-2"/>
    <n v="0"/>
    <x v="0"/>
    <x v="1"/>
    <m/>
    <n v="0"/>
    <n v="1"/>
    <n v="896"/>
    <n v="6"/>
    <x v="3"/>
    <x v="0"/>
    <n v="4"/>
    <n v="75"/>
    <n v="3"/>
    <n v="3"/>
    <x v="1"/>
    <n v="13591"/>
    <n v="14674"/>
    <n v="3"/>
    <n v="18"/>
    <n v="3"/>
    <n v="3"/>
    <n v="80"/>
    <n v="0"/>
    <n v="16"/>
    <n v="3"/>
    <n v="1"/>
    <n v="0"/>
    <n v="0"/>
    <n v="0"/>
  </r>
  <r>
    <s v="Yes"/>
    <s v="Travel_Frequently"/>
    <x v="2"/>
    <s v="Ex-Employees"/>
    <x v="0"/>
    <x v="3"/>
    <x v="216"/>
    <x v="216"/>
    <x v="0"/>
    <x v="0"/>
    <x v="0"/>
    <s v="No"/>
    <s v="Y"/>
    <n v="5"/>
    <n v="-2"/>
    <n v="0"/>
    <x v="7"/>
    <x v="0"/>
    <n v="1"/>
    <n v="1"/>
    <n v="0"/>
    <n v="334"/>
    <n v="26"/>
    <x v="2"/>
    <x v="0"/>
    <n v="3"/>
    <n v="52"/>
    <n v="2"/>
    <n v="2"/>
    <x v="2"/>
    <n v="6696"/>
    <n v="22967"/>
    <n v="5"/>
    <n v="15"/>
    <n v="3"/>
    <n v="3"/>
    <n v="80"/>
    <n v="0"/>
    <n v="9"/>
    <n v="2"/>
    <n v="6"/>
    <n v="3"/>
    <n v="0"/>
    <n v="1"/>
  </r>
  <r>
    <s v="Yes"/>
    <s v="Travel_Rarely"/>
    <x v="2"/>
    <s v="Ex-Employees"/>
    <x v="1"/>
    <x v="4"/>
    <x v="217"/>
    <x v="217"/>
    <x v="1"/>
    <x v="1"/>
    <x v="0"/>
    <s v="No"/>
    <s v="Y"/>
    <n v="1"/>
    <n v="-2"/>
    <n v="0"/>
    <x v="11"/>
    <x v="0"/>
    <n v="1"/>
    <n v="1"/>
    <n v="0"/>
    <n v="992"/>
    <n v="1"/>
    <x v="3"/>
    <x v="0"/>
    <n v="3"/>
    <n v="85"/>
    <n v="3"/>
    <n v="1"/>
    <x v="0"/>
    <n v="2058"/>
    <n v="19757"/>
    <n v="0"/>
    <n v="14"/>
    <n v="3"/>
    <n v="4"/>
    <n v="80"/>
    <n v="0"/>
    <n v="7"/>
    <n v="2"/>
    <n v="6"/>
    <n v="2"/>
    <n v="1"/>
    <n v="5"/>
  </r>
  <r>
    <s v="No"/>
    <s v="Non-Travel"/>
    <x v="1"/>
    <s v="Current Employees"/>
    <x v="0"/>
    <x v="2"/>
    <x v="218"/>
    <x v="218"/>
    <x v="0"/>
    <x v="0"/>
    <x v="0"/>
    <s v="No"/>
    <s v="Y"/>
    <n v="2"/>
    <n v="-2"/>
    <n v="0"/>
    <x v="28"/>
    <x v="1"/>
    <m/>
    <n v="0"/>
    <n v="1"/>
    <n v="1052"/>
    <n v="6"/>
    <x v="3"/>
    <x v="0"/>
    <n v="4"/>
    <n v="57"/>
    <n v="2"/>
    <n v="3"/>
    <x v="0"/>
    <n v="8865"/>
    <n v="16840"/>
    <n v="6"/>
    <n v="12"/>
    <n v="3"/>
    <n v="4"/>
    <n v="80"/>
    <n v="0"/>
    <n v="23"/>
    <n v="3"/>
    <n v="19"/>
    <n v="7"/>
    <n v="12"/>
    <n v="8"/>
  </r>
  <r>
    <s v="No"/>
    <s v="Travel_Rarely"/>
    <x v="1"/>
    <s v="Current Employees"/>
    <x v="0"/>
    <x v="3"/>
    <x v="219"/>
    <x v="219"/>
    <x v="0"/>
    <x v="0"/>
    <x v="1"/>
    <s v="No"/>
    <s v="Y"/>
    <n v="4"/>
    <n v="-2"/>
    <n v="0"/>
    <x v="33"/>
    <x v="1"/>
    <m/>
    <n v="0"/>
    <n v="1"/>
    <n v="1147"/>
    <n v="3"/>
    <x v="3"/>
    <x v="0"/>
    <n v="4"/>
    <n v="52"/>
    <n v="3"/>
    <n v="2"/>
    <x v="3"/>
    <n v="5940"/>
    <n v="17011"/>
    <n v="2"/>
    <n v="14"/>
    <n v="3"/>
    <n v="4"/>
    <n v="80"/>
    <n v="1"/>
    <n v="16"/>
    <n v="3"/>
    <n v="6"/>
    <n v="2"/>
    <n v="0"/>
    <n v="5"/>
  </r>
  <r>
    <s v="No"/>
    <s v="Travel_Rarely"/>
    <x v="0"/>
    <s v="Current Employees"/>
    <x v="1"/>
    <x v="0"/>
    <x v="220"/>
    <x v="220"/>
    <x v="1"/>
    <x v="2"/>
    <x v="0"/>
    <s v="No"/>
    <s v="Y"/>
    <n v="3"/>
    <n v="-2"/>
    <n v="0"/>
    <x v="9"/>
    <x v="1"/>
    <m/>
    <n v="0"/>
    <n v="1"/>
    <n v="1396"/>
    <n v="5"/>
    <x v="0"/>
    <x v="0"/>
    <n v="4"/>
    <n v="62"/>
    <n v="3"/>
    <n v="2"/>
    <x v="1"/>
    <n v="5914"/>
    <n v="9945"/>
    <n v="8"/>
    <n v="16"/>
    <n v="3"/>
    <n v="4"/>
    <n v="80"/>
    <n v="0"/>
    <n v="16"/>
    <n v="4"/>
    <n v="13"/>
    <n v="11"/>
    <n v="3"/>
    <n v="7"/>
  </r>
  <r>
    <s v="No"/>
    <s v="Travel_Rarely"/>
    <x v="2"/>
    <s v="Current Employees"/>
    <x v="1"/>
    <x v="2"/>
    <x v="221"/>
    <x v="221"/>
    <x v="0"/>
    <x v="1"/>
    <x v="1"/>
    <s v="No"/>
    <s v="Y"/>
    <n v="3"/>
    <n v="-2"/>
    <n v="0"/>
    <x v="3"/>
    <x v="1"/>
    <m/>
    <n v="0"/>
    <n v="1"/>
    <n v="147"/>
    <n v="4"/>
    <x v="2"/>
    <x v="0"/>
    <n v="3"/>
    <n v="47"/>
    <n v="2"/>
    <n v="1"/>
    <x v="2"/>
    <n v="2622"/>
    <n v="13248"/>
    <n v="6"/>
    <n v="21"/>
    <n v="4"/>
    <n v="4"/>
    <n v="80"/>
    <n v="0"/>
    <n v="7"/>
    <n v="3"/>
    <n v="3"/>
    <n v="2"/>
    <n v="1"/>
    <n v="1"/>
  </r>
  <r>
    <s v="No"/>
    <s v="Travel_Frequently"/>
    <x v="0"/>
    <s v="Current Employees"/>
    <x v="1"/>
    <x v="1"/>
    <x v="222"/>
    <x v="222"/>
    <x v="1"/>
    <x v="7"/>
    <x v="2"/>
    <s v="Yes"/>
    <s v="Y"/>
    <n v="1"/>
    <n v="-2"/>
    <n v="0"/>
    <x v="2"/>
    <x v="1"/>
    <m/>
    <n v="0"/>
    <n v="1"/>
    <n v="663"/>
    <n v="11"/>
    <x v="3"/>
    <x v="0"/>
    <n v="2"/>
    <n v="47"/>
    <n v="3"/>
    <n v="3"/>
    <x v="0"/>
    <n v="12185"/>
    <n v="10056"/>
    <n v="1"/>
    <n v="14"/>
    <n v="3"/>
    <n v="3"/>
    <n v="80"/>
    <n v="3"/>
    <n v="10"/>
    <n v="3"/>
    <n v="10"/>
    <n v="8"/>
    <n v="0"/>
    <n v="7"/>
  </r>
  <r>
    <s v="No"/>
    <s v="Travel_Rarely"/>
    <x v="0"/>
    <s v="Current Employees"/>
    <x v="0"/>
    <x v="0"/>
    <x v="223"/>
    <x v="223"/>
    <x v="1"/>
    <x v="0"/>
    <x v="2"/>
    <s v="No"/>
    <s v="Y"/>
    <n v="6"/>
    <n v="-2"/>
    <n v="0"/>
    <x v="8"/>
    <x v="1"/>
    <m/>
    <n v="0"/>
    <n v="1"/>
    <n v="119"/>
    <n v="3"/>
    <x v="3"/>
    <x v="0"/>
    <n v="1"/>
    <n v="76"/>
    <n v="3"/>
    <n v="3"/>
    <x v="1"/>
    <n v="10609"/>
    <n v="9647"/>
    <n v="0"/>
    <n v="12"/>
    <n v="3"/>
    <n v="3"/>
    <n v="80"/>
    <n v="2"/>
    <n v="17"/>
    <n v="2"/>
    <n v="16"/>
    <n v="10"/>
    <n v="5"/>
    <n v="13"/>
  </r>
  <r>
    <s v="No"/>
    <s v="Non-Travel"/>
    <x v="2"/>
    <s v="Current Employees"/>
    <x v="1"/>
    <x v="2"/>
    <x v="224"/>
    <x v="224"/>
    <x v="1"/>
    <x v="3"/>
    <x v="1"/>
    <s v="No"/>
    <s v="Y"/>
    <n v="2"/>
    <n v="-2"/>
    <n v="0"/>
    <x v="12"/>
    <x v="1"/>
    <m/>
    <n v="0"/>
    <n v="1"/>
    <n v="979"/>
    <n v="1"/>
    <x v="2"/>
    <x v="0"/>
    <n v="3"/>
    <n v="90"/>
    <n v="1"/>
    <n v="2"/>
    <x v="2"/>
    <n v="4345"/>
    <n v="4381"/>
    <n v="0"/>
    <n v="12"/>
    <n v="3"/>
    <n v="4"/>
    <n v="80"/>
    <n v="1"/>
    <n v="6"/>
    <n v="3"/>
    <n v="5"/>
    <n v="4"/>
    <n v="1"/>
    <n v="4"/>
  </r>
  <r>
    <s v="No"/>
    <s v="Travel_Rarely"/>
    <x v="3"/>
    <s v="Current Employees"/>
    <x v="1"/>
    <x v="0"/>
    <x v="225"/>
    <x v="225"/>
    <x v="1"/>
    <x v="1"/>
    <x v="1"/>
    <s v="No"/>
    <s v="Y"/>
    <n v="6"/>
    <n v="-2"/>
    <n v="0"/>
    <x v="6"/>
    <x v="1"/>
    <m/>
    <n v="0"/>
    <n v="1"/>
    <n v="142"/>
    <n v="3"/>
    <x v="3"/>
    <x v="0"/>
    <n v="3"/>
    <n v="70"/>
    <n v="2"/>
    <n v="1"/>
    <x v="1"/>
    <n v="2177"/>
    <n v="8456"/>
    <n v="3"/>
    <n v="17"/>
    <n v="3"/>
    <n v="1"/>
    <n v="80"/>
    <n v="1"/>
    <n v="7"/>
    <n v="3"/>
    <n v="1"/>
    <n v="0"/>
    <n v="0"/>
    <n v="0"/>
  </r>
  <r>
    <s v="No"/>
    <s v="Travel_Frequently"/>
    <x v="0"/>
    <s v="Current Employees"/>
    <x v="0"/>
    <x v="3"/>
    <x v="226"/>
    <x v="226"/>
    <x v="1"/>
    <x v="6"/>
    <x v="2"/>
    <s v="No"/>
    <s v="Y"/>
    <n v="2"/>
    <n v="-2"/>
    <n v="0"/>
    <x v="2"/>
    <x v="1"/>
    <m/>
    <n v="0"/>
    <n v="1"/>
    <n v="319"/>
    <n v="4"/>
    <x v="2"/>
    <x v="0"/>
    <n v="1"/>
    <n v="41"/>
    <n v="3"/>
    <n v="1"/>
    <x v="3"/>
    <n v="2793"/>
    <n v="2539"/>
    <n v="4"/>
    <n v="17"/>
    <n v="3"/>
    <n v="3"/>
    <n v="80"/>
    <n v="1"/>
    <n v="13"/>
    <n v="3"/>
    <n v="9"/>
    <n v="8"/>
    <n v="5"/>
    <n v="8"/>
  </r>
  <r>
    <s v="No"/>
    <s v="Travel_Frequently"/>
    <x v="2"/>
    <s v="Current Employees"/>
    <x v="0"/>
    <x v="2"/>
    <x v="227"/>
    <x v="227"/>
    <x v="0"/>
    <x v="0"/>
    <x v="1"/>
    <s v="No"/>
    <s v="Y"/>
    <n v="5"/>
    <n v="-2"/>
    <n v="0"/>
    <x v="11"/>
    <x v="1"/>
    <m/>
    <n v="0"/>
    <n v="1"/>
    <n v="1413"/>
    <n v="1"/>
    <x v="1"/>
    <x v="0"/>
    <n v="2"/>
    <n v="42"/>
    <n v="3"/>
    <n v="3"/>
    <x v="0"/>
    <n v="7918"/>
    <n v="6599"/>
    <n v="1"/>
    <n v="14"/>
    <n v="3"/>
    <n v="4"/>
    <n v="80"/>
    <n v="1"/>
    <n v="11"/>
    <n v="3"/>
    <n v="11"/>
    <n v="10"/>
    <n v="4"/>
    <n v="1"/>
  </r>
  <r>
    <s v="No"/>
    <s v="Travel_Frequently"/>
    <x v="0"/>
    <s v="Current Employees"/>
    <x v="0"/>
    <x v="3"/>
    <x v="228"/>
    <x v="228"/>
    <x v="0"/>
    <x v="0"/>
    <x v="0"/>
    <s v="No"/>
    <s v="Y"/>
    <n v="3"/>
    <n v="-2"/>
    <n v="0"/>
    <x v="10"/>
    <x v="1"/>
    <m/>
    <n v="0"/>
    <n v="1"/>
    <n v="944"/>
    <n v="1"/>
    <x v="3"/>
    <x v="0"/>
    <n v="3"/>
    <n v="92"/>
    <n v="3"/>
    <n v="3"/>
    <x v="3"/>
    <n v="8789"/>
    <n v="9096"/>
    <n v="1"/>
    <n v="14"/>
    <n v="3"/>
    <n v="1"/>
    <n v="80"/>
    <n v="0"/>
    <n v="10"/>
    <n v="4"/>
    <n v="10"/>
    <n v="7"/>
    <n v="0"/>
    <n v="8"/>
  </r>
  <r>
    <s v="Yes"/>
    <s v="Travel_Rarely"/>
    <x v="2"/>
    <s v="Ex-Employees"/>
    <x v="1"/>
    <x v="2"/>
    <x v="229"/>
    <x v="229"/>
    <x v="1"/>
    <x v="1"/>
    <x v="0"/>
    <s v="Yes"/>
    <s v="Y"/>
    <n v="3"/>
    <n v="-2"/>
    <n v="0"/>
    <x v="11"/>
    <x v="0"/>
    <n v="1"/>
    <n v="1"/>
    <n v="0"/>
    <n v="896"/>
    <n v="18"/>
    <x v="1"/>
    <x v="0"/>
    <n v="3"/>
    <n v="86"/>
    <n v="2"/>
    <n v="1"/>
    <x v="0"/>
    <n v="2389"/>
    <n v="14961"/>
    <n v="1"/>
    <n v="13"/>
    <n v="3"/>
    <n v="3"/>
    <n v="80"/>
    <n v="0"/>
    <n v="4"/>
    <n v="2"/>
    <n v="4"/>
    <n v="3"/>
    <n v="0"/>
    <n v="1"/>
  </r>
  <r>
    <s v="No"/>
    <s v="Travel_Rarely"/>
    <x v="1"/>
    <s v="Current Employees"/>
    <x v="1"/>
    <x v="0"/>
    <x v="230"/>
    <x v="230"/>
    <x v="0"/>
    <x v="2"/>
    <x v="0"/>
    <s v="No"/>
    <s v="Y"/>
    <n v="3"/>
    <n v="-2"/>
    <n v="0"/>
    <x v="39"/>
    <x v="1"/>
    <m/>
    <n v="0"/>
    <n v="1"/>
    <n v="1323"/>
    <n v="2"/>
    <x v="3"/>
    <x v="0"/>
    <n v="3"/>
    <n v="89"/>
    <n v="2"/>
    <n v="1"/>
    <x v="1"/>
    <n v="3212"/>
    <n v="3300"/>
    <n v="7"/>
    <n v="15"/>
    <n v="3"/>
    <n v="2"/>
    <n v="80"/>
    <n v="0"/>
    <n v="6"/>
    <n v="2"/>
    <n v="2"/>
    <n v="2"/>
    <n v="2"/>
    <n v="2"/>
  </r>
  <r>
    <s v="No"/>
    <s v="Travel_Rarely"/>
    <x v="0"/>
    <s v="Current Employees"/>
    <x v="1"/>
    <x v="4"/>
    <x v="231"/>
    <x v="231"/>
    <x v="1"/>
    <x v="5"/>
    <x v="1"/>
    <s v="No"/>
    <s v="Y"/>
    <n v="3"/>
    <n v="-2"/>
    <n v="0"/>
    <x v="19"/>
    <x v="1"/>
    <m/>
    <n v="0"/>
    <n v="1"/>
    <n v="532"/>
    <n v="4"/>
    <x v="0"/>
    <x v="0"/>
    <n v="3"/>
    <n v="58"/>
    <n v="3"/>
    <n v="5"/>
    <x v="0"/>
    <n v="19232"/>
    <n v="4933"/>
    <n v="1"/>
    <n v="11"/>
    <n v="3"/>
    <n v="4"/>
    <n v="80"/>
    <n v="0"/>
    <n v="22"/>
    <n v="3"/>
    <n v="22"/>
    <n v="17"/>
    <n v="11"/>
    <n v="15"/>
  </r>
  <r>
    <s v="No"/>
    <s v="Travel_Rarely"/>
    <x v="3"/>
    <s v="Current Employees"/>
    <x v="2"/>
    <x v="2"/>
    <x v="232"/>
    <x v="232"/>
    <x v="1"/>
    <x v="8"/>
    <x v="1"/>
    <s v="No"/>
    <s v="Y"/>
    <n v="2"/>
    <n v="-2"/>
    <n v="0"/>
    <x v="6"/>
    <x v="1"/>
    <m/>
    <n v="0"/>
    <n v="1"/>
    <n v="818"/>
    <n v="6"/>
    <x v="0"/>
    <x v="0"/>
    <n v="2"/>
    <n v="52"/>
    <n v="3"/>
    <n v="1"/>
    <x v="2"/>
    <n v="2267"/>
    <n v="25657"/>
    <n v="8"/>
    <n v="17"/>
    <n v="3"/>
    <n v="4"/>
    <n v="80"/>
    <n v="0"/>
    <n v="7"/>
    <n v="2"/>
    <n v="2"/>
    <n v="2"/>
    <n v="2"/>
    <n v="2"/>
  </r>
  <r>
    <s v="No"/>
    <s v="Travel_Rarely"/>
    <x v="1"/>
    <s v="Current Employees"/>
    <x v="0"/>
    <x v="2"/>
    <x v="233"/>
    <x v="233"/>
    <x v="0"/>
    <x v="5"/>
    <x v="2"/>
    <s v="No"/>
    <s v="Y"/>
    <n v="3"/>
    <n v="-2"/>
    <n v="0"/>
    <x v="24"/>
    <x v="1"/>
    <m/>
    <n v="0"/>
    <n v="1"/>
    <n v="854"/>
    <n v="1"/>
    <x v="2"/>
    <x v="0"/>
    <n v="4"/>
    <n v="68"/>
    <n v="3"/>
    <n v="5"/>
    <x v="0"/>
    <n v="19517"/>
    <n v="24118"/>
    <n v="3"/>
    <n v="11"/>
    <n v="3"/>
    <n v="3"/>
    <n v="80"/>
    <n v="1"/>
    <n v="32"/>
    <n v="2"/>
    <n v="7"/>
    <n v="0"/>
    <n v="0"/>
    <n v="6"/>
  </r>
  <r>
    <s v="Yes"/>
    <s v="Travel_Rarely"/>
    <x v="2"/>
    <s v="Ex-Employees"/>
    <x v="1"/>
    <x v="2"/>
    <x v="234"/>
    <x v="234"/>
    <x v="1"/>
    <x v="2"/>
    <x v="1"/>
    <s v="Yes"/>
    <s v="Y"/>
    <n v="2"/>
    <n v="-2"/>
    <n v="0"/>
    <x v="3"/>
    <x v="0"/>
    <n v="1"/>
    <n v="1"/>
    <n v="0"/>
    <n v="813"/>
    <n v="14"/>
    <x v="3"/>
    <x v="0"/>
    <n v="3"/>
    <n v="58"/>
    <n v="3"/>
    <n v="1"/>
    <x v="0"/>
    <n v="2436"/>
    <n v="22149"/>
    <n v="5"/>
    <n v="13"/>
    <n v="3"/>
    <n v="3"/>
    <n v="80"/>
    <n v="1"/>
    <n v="8"/>
    <n v="1"/>
    <n v="5"/>
    <n v="4"/>
    <n v="0"/>
    <n v="4"/>
  </r>
  <r>
    <s v="No"/>
    <s v="Travel_Rarely"/>
    <x v="0"/>
    <s v="Current Employees"/>
    <x v="0"/>
    <x v="3"/>
    <x v="235"/>
    <x v="235"/>
    <x v="0"/>
    <x v="5"/>
    <x v="1"/>
    <s v="Yes"/>
    <s v="Y"/>
    <n v="3"/>
    <n v="-2"/>
    <n v="0"/>
    <x v="23"/>
    <x v="1"/>
    <m/>
    <n v="0"/>
    <n v="1"/>
    <n v="1034"/>
    <n v="16"/>
    <x v="3"/>
    <x v="0"/>
    <n v="4"/>
    <n v="80"/>
    <n v="3"/>
    <n v="4"/>
    <x v="3"/>
    <n v="16064"/>
    <n v="7744"/>
    <n v="5"/>
    <n v="22"/>
    <n v="4"/>
    <n v="3"/>
    <n v="80"/>
    <n v="1"/>
    <n v="22"/>
    <n v="3"/>
    <n v="17"/>
    <n v="13"/>
    <n v="1"/>
    <n v="9"/>
  </r>
  <r>
    <s v="Yes"/>
    <s v="Travel_Rarely"/>
    <x v="2"/>
    <s v="Ex-Employees"/>
    <x v="1"/>
    <x v="0"/>
    <x v="236"/>
    <x v="236"/>
    <x v="0"/>
    <x v="2"/>
    <x v="1"/>
    <s v="No"/>
    <s v="Y"/>
    <n v="3"/>
    <n v="-2"/>
    <n v="0"/>
    <x v="3"/>
    <x v="0"/>
    <n v="1"/>
    <n v="1"/>
    <n v="0"/>
    <n v="465"/>
    <n v="2"/>
    <x v="0"/>
    <x v="0"/>
    <n v="1"/>
    <n v="39"/>
    <n v="3"/>
    <n v="1"/>
    <x v="1"/>
    <n v="2707"/>
    <n v="21509"/>
    <n v="7"/>
    <n v="20"/>
    <n v="4"/>
    <n v="1"/>
    <n v="80"/>
    <n v="0"/>
    <n v="13"/>
    <n v="4"/>
    <n v="9"/>
    <n v="7"/>
    <n v="1"/>
    <n v="7"/>
  </r>
  <r>
    <s v="No"/>
    <s v="Non-Travel"/>
    <x v="1"/>
    <s v="Current Employees"/>
    <x v="0"/>
    <x v="0"/>
    <x v="237"/>
    <x v="237"/>
    <x v="1"/>
    <x v="5"/>
    <x v="0"/>
    <s v="Yes"/>
    <s v="Y"/>
    <n v="2"/>
    <n v="-2"/>
    <n v="0"/>
    <x v="39"/>
    <x v="1"/>
    <m/>
    <n v="0"/>
    <n v="1"/>
    <n v="771"/>
    <n v="2"/>
    <x v="2"/>
    <x v="0"/>
    <n v="1"/>
    <n v="79"/>
    <n v="2"/>
    <n v="5"/>
    <x v="1"/>
    <n v="19068"/>
    <n v="21030"/>
    <n v="1"/>
    <n v="18"/>
    <n v="3"/>
    <n v="4"/>
    <n v="80"/>
    <n v="0"/>
    <n v="33"/>
    <n v="4"/>
    <n v="33"/>
    <n v="7"/>
    <n v="15"/>
    <n v="12"/>
  </r>
  <r>
    <s v="No"/>
    <s v="Travel_Rarely"/>
    <x v="2"/>
    <s v="Current Employees"/>
    <x v="0"/>
    <x v="0"/>
    <x v="238"/>
    <x v="238"/>
    <x v="0"/>
    <x v="6"/>
    <x v="1"/>
    <s v="No"/>
    <s v="Y"/>
    <n v="5"/>
    <n v="-2"/>
    <n v="0"/>
    <x v="5"/>
    <x v="1"/>
    <m/>
    <n v="0"/>
    <n v="1"/>
    <n v="1401"/>
    <n v="4"/>
    <x v="0"/>
    <x v="0"/>
    <n v="3"/>
    <n v="56"/>
    <n v="3"/>
    <n v="1"/>
    <x v="1"/>
    <n v="3931"/>
    <n v="20990"/>
    <n v="2"/>
    <n v="11"/>
    <n v="3"/>
    <n v="1"/>
    <n v="80"/>
    <n v="1"/>
    <n v="6"/>
    <n v="3"/>
    <n v="4"/>
    <n v="3"/>
    <n v="1"/>
    <n v="2"/>
  </r>
  <r>
    <s v="Yes"/>
    <s v="Travel_Rarely"/>
    <x v="2"/>
    <s v="Ex-Employees"/>
    <x v="1"/>
    <x v="0"/>
    <x v="239"/>
    <x v="239"/>
    <x v="1"/>
    <x v="2"/>
    <x v="0"/>
    <s v="Yes"/>
    <s v="Y"/>
    <n v="2"/>
    <n v="-2"/>
    <n v="0"/>
    <x v="5"/>
    <x v="0"/>
    <n v="1"/>
    <n v="1"/>
    <n v="0"/>
    <n v="515"/>
    <n v="1"/>
    <x v="3"/>
    <x v="0"/>
    <n v="4"/>
    <n v="62"/>
    <n v="2"/>
    <n v="1"/>
    <x v="1"/>
    <n v="3730"/>
    <n v="9571"/>
    <n v="0"/>
    <n v="14"/>
    <n v="3"/>
    <n v="4"/>
    <n v="80"/>
    <n v="0"/>
    <n v="4"/>
    <n v="1"/>
    <n v="3"/>
    <n v="2"/>
    <n v="1"/>
    <n v="2"/>
  </r>
  <r>
    <s v="No"/>
    <s v="Travel_Rarely"/>
    <x v="0"/>
    <s v="Current Employees"/>
    <x v="1"/>
    <x v="2"/>
    <x v="240"/>
    <x v="240"/>
    <x v="0"/>
    <x v="2"/>
    <x v="2"/>
    <s v="No"/>
    <s v="Y"/>
    <n v="1"/>
    <n v="-2"/>
    <n v="0"/>
    <x v="22"/>
    <x v="1"/>
    <m/>
    <n v="0"/>
    <n v="1"/>
    <n v="1431"/>
    <n v="1"/>
    <x v="2"/>
    <x v="0"/>
    <n v="3"/>
    <n v="96"/>
    <n v="3"/>
    <n v="1"/>
    <x v="2"/>
    <n v="2232"/>
    <n v="15417"/>
    <n v="7"/>
    <n v="14"/>
    <n v="3"/>
    <n v="3"/>
    <n v="80"/>
    <n v="3"/>
    <n v="7"/>
    <n v="3"/>
    <n v="3"/>
    <n v="2"/>
    <n v="1"/>
    <n v="2"/>
  </r>
  <r>
    <s v="No"/>
    <s v="Non-Travel"/>
    <x v="2"/>
    <s v="Current Employees"/>
    <x v="0"/>
    <x v="3"/>
    <x v="241"/>
    <x v="241"/>
    <x v="1"/>
    <x v="0"/>
    <x v="1"/>
    <s v="No"/>
    <s v="Y"/>
    <n v="2"/>
    <n v="-2"/>
    <n v="0"/>
    <x v="5"/>
    <x v="1"/>
    <m/>
    <n v="0"/>
    <n v="1"/>
    <n v="976"/>
    <n v="26"/>
    <x v="2"/>
    <x v="0"/>
    <n v="3"/>
    <n v="100"/>
    <n v="3"/>
    <n v="2"/>
    <x v="3"/>
    <n v="4465"/>
    <n v="12069"/>
    <n v="0"/>
    <n v="18"/>
    <n v="3"/>
    <n v="1"/>
    <n v="80"/>
    <n v="0"/>
    <n v="4"/>
    <n v="3"/>
    <n v="3"/>
    <n v="2"/>
    <n v="2"/>
    <n v="2"/>
  </r>
  <r>
    <s v="No"/>
    <s v="Travel_Rarely"/>
    <x v="0"/>
    <s v="Current Employees"/>
    <x v="1"/>
    <x v="0"/>
    <x v="242"/>
    <x v="242"/>
    <x v="1"/>
    <x v="1"/>
    <x v="2"/>
    <s v="No"/>
    <s v="Y"/>
    <n v="2"/>
    <n v="-2"/>
    <n v="0"/>
    <x v="0"/>
    <x v="1"/>
    <m/>
    <n v="0"/>
    <n v="1"/>
    <n v="1411"/>
    <n v="19"/>
    <x v="0"/>
    <x v="0"/>
    <n v="3"/>
    <n v="36"/>
    <n v="3"/>
    <n v="2"/>
    <x v="1"/>
    <n v="3072"/>
    <n v="19877"/>
    <n v="2"/>
    <n v="16"/>
    <n v="3"/>
    <n v="1"/>
    <n v="80"/>
    <n v="2"/>
    <n v="17"/>
    <n v="2"/>
    <n v="1"/>
    <n v="0"/>
    <n v="0"/>
    <n v="0"/>
  </r>
  <r>
    <s v="No"/>
    <s v="Travel_Rarely"/>
    <x v="0"/>
    <s v="Current Employees"/>
    <x v="1"/>
    <x v="4"/>
    <x v="243"/>
    <x v="243"/>
    <x v="1"/>
    <x v="1"/>
    <x v="2"/>
    <s v="No"/>
    <s v="Y"/>
    <n v="3"/>
    <n v="-2"/>
    <n v="0"/>
    <x v="32"/>
    <x v="1"/>
    <m/>
    <n v="0"/>
    <n v="1"/>
    <n v="1300"/>
    <n v="24"/>
    <x v="0"/>
    <x v="0"/>
    <n v="4"/>
    <n v="62"/>
    <n v="3"/>
    <n v="2"/>
    <x v="0"/>
    <n v="3319"/>
    <n v="24447"/>
    <n v="1"/>
    <n v="17"/>
    <n v="3"/>
    <n v="1"/>
    <n v="80"/>
    <n v="2"/>
    <n v="9"/>
    <n v="3"/>
    <n v="9"/>
    <n v="8"/>
    <n v="4"/>
    <n v="7"/>
  </r>
  <r>
    <s v="No"/>
    <s v="Travel_Rarely"/>
    <x v="1"/>
    <s v="Current Employees"/>
    <x v="1"/>
    <x v="1"/>
    <x v="244"/>
    <x v="244"/>
    <x v="1"/>
    <x v="5"/>
    <x v="1"/>
    <s v="No"/>
    <s v="Y"/>
    <n v="2"/>
    <n v="-2"/>
    <n v="0"/>
    <x v="28"/>
    <x v="1"/>
    <m/>
    <n v="0"/>
    <n v="1"/>
    <n v="252"/>
    <n v="1"/>
    <x v="3"/>
    <x v="0"/>
    <n v="3"/>
    <n v="70"/>
    <n v="4"/>
    <n v="5"/>
    <x v="0"/>
    <n v="19202"/>
    <n v="15970"/>
    <n v="0"/>
    <n v="11"/>
    <n v="3"/>
    <n v="3"/>
    <n v="80"/>
    <n v="1"/>
    <n v="25"/>
    <n v="3"/>
    <n v="24"/>
    <n v="0"/>
    <n v="1"/>
    <n v="7"/>
  </r>
  <r>
    <s v="No"/>
    <s v="Travel_Frequently"/>
    <x v="2"/>
    <s v="Current Employees"/>
    <x v="1"/>
    <x v="2"/>
    <x v="245"/>
    <x v="245"/>
    <x v="1"/>
    <x v="7"/>
    <x v="2"/>
    <s v="No"/>
    <s v="Y"/>
    <n v="3"/>
    <n v="-2"/>
    <n v="0"/>
    <x v="12"/>
    <x v="1"/>
    <m/>
    <n v="0"/>
    <n v="1"/>
    <n v="1327"/>
    <n v="3"/>
    <x v="2"/>
    <x v="0"/>
    <n v="2"/>
    <n v="73"/>
    <n v="3"/>
    <n v="3"/>
    <x v="2"/>
    <n v="13675"/>
    <n v="13523"/>
    <n v="9"/>
    <n v="12"/>
    <n v="3"/>
    <n v="1"/>
    <n v="80"/>
    <n v="1"/>
    <n v="9"/>
    <n v="3"/>
    <n v="2"/>
    <n v="2"/>
    <n v="2"/>
    <n v="2"/>
  </r>
  <r>
    <s v="No"/>
    <s v="Travel_Rarely"/>
    <x v="2"/>
    <s v="Current Employees"/>
    <x v="1"/>
    <x v="0"/>
    <x v="246"/>
    <x v="246"/>
    <x v="0"/>
    <x v="1"/>
    <x v="1"/>
    <s v="No"/>
    <s v="Y"/>
    <n v="2"/>
    <n v="-2"/>
    <n v="0"/>
    <x v="3"/>
    <x v="1"/>
    <m/>
    <n v="0"/>
    <n v="1"/>
    <n v="832"/>
    <n v="5"/>
    <x v="2"/>
    <x v="0"/>
    <n v="3"/>
    <n v="63"/>
    <n v="2"/>
    <n v="1"/>
    <x v="1"/>
    <n v="2911"/>
    <n v="14776"/>
    <n v="1"/>
    <n v="13"/>
    <n v="3"/>
    <n v="3"/>
    <n v="80"/>
    <n v="1"/>
    <n v="2"/>
    <n v="2"/>
    <n v="2"/>
    <n v="2"/>
    <n v="0"/>
    <n v="2"/>
  </r>
  <r>
    <s v="No"/>
    <s v="Travel_Rarely"/>
    <x v="2"/>
    <s v="Current Employees"/>
    <x v="1"/>
    <x v="0"/>
    <x v="247"/>
    <x v="247"/>
    <x v="1"/>
    <x v="3"/>
    <x v="1"/>
    <s v="No"/>
    <s v="Y"/>
    <n v="3"/>
    <n v="-2"/>
    <n v="0"/>
    <x v="13"/>
    <x v="1"/>
    <m/>
    <n v="0"/>
    <n v="1"/>
    <n v="470"/>
    <n v="2"/>
    <x v="2"/>
    <x v="0"/>
    <n v="4"/>
    <n v="84"/>
    <n v="2"/>
    <n v="2"/>
    <x v="1"/>
    <n v="5957"/>
    <n v="23687"/>
    <n v="6"/>
    <n v="13"/>
    <n v="3"/>
    <n v="2"/>
    <n v="80"/>
    <n v="1"/>
    <n v="13"/>
    <n v="3"/>
    <n v="11"/>
    <n v="9"/>
    <n v="5"/>
    <n v="9"/>
  </r>
  <r>
    <s v="No"/>
    <s v="Travel_Rarely"/>
    <x v="0"/>
    <s v="Current Employees"/>
    <x v="1"/>
    <x v="2"/>
    <x v="248"/>
    <x v="248"/>
    <x v="0"/>
    <x v="1"/>
    <x v="1"/>
    <s v="No"/>
    <s v="Y"/>
    <n v="2"/>
    <n v="-2"/>
    <n v="0"/>
    <x v="2"/>
    <x v="1"/>
    <m/>
    <n v="0"/>
    <n v="1"/>
    <n v="1017"/>
    <n v="1"/>
    <x v="0"/>
    <x v="0"/>
    <n v="3"/>
    <n v="83"/>
    <n v="2"/>
    <n v="1"/>
    <x v="2"/>
    <n v="3920"/>
    <n v="18697"/>
    <n v="2"/>
    <n v="14"/>
    <n v="3"/>
    <n v="1"/>
    <n v="80"/>
    <n v="1"/>
    <n v="17"/>
    <n v="2"/>
    <n v="3"/>
    <n v="1"/>
    <n v="0"/>
    <n v="2"/>
  </r>
  <r>
    <s v="No"/>
    <s v="Travel_Frequently"/>
    <x v="1"/>
    <s v="Current Employees"/>
    <x v="1"/>
    <x v="0"/>
    <x v="249"/>
    <x v="249"/>
    <x v="1"/>
    <x v="3"/>
    <x v="1"/>
    <s v="No"/>
    <s v="Y"/>
    <n v="1"/>
    <n v="-2"/>
    <n v="0"/>
    <x v="28"/>
    <x v="1"/>
    <m/>
    <n v="0"/>
    <n v="1"/>
    <n v="1199"/>
    <n v="7"/>
    <x v="2"/>
    <x v="0"/>
    <n v="1"/>
    <n v="77"/>
    <n v="4"/>
    <n v="2"/>
    <x v="1"/>
    <n v="6434"/>
    <n v="5118"/>
    <n v="4"/>
    <n v="17"/>
    <n v="3"/>
    <n v="4"/>
    <n v="80"/>
    <n v="1"/>
    <n v="9"/>
    <n v="3"/>
    <n v="3"/>
    <n v="2"/>
    <n v="0"/>
    <n v="2"/>
  </r>
  <r>
    <s v="Yes"/>
    <s v="Travel_Frequently"/>
    <x v="0"/>
    <s v="Ex-Employees"/>
    <x v="1"/>
    <x v="2"/>
    <x v="250"/>
    <x v="250"/>
    <x v="1"/>
    <x v="3"/>
    <x v="2"/>
    <s v="No"/>
    <s v="Y"/>
    <n v="5"/>
    <n v="-2"/>
    <n v="0"/>
    <x v="2"/>
    <x v="0"/>
    <n v="1"/>
    <n v="1"/>
    <n v="0"/>
    <n v="504"/>
    <n v="10"/>
    <x v="3"/>
    <x v="0"/>
    <n v="1"/>
    <n v="61"/>
    <n v="3"/>
    <n v="3"/>
    <x v="2"/>
    <n v="10048"/>
    <n v="22573"/>
    <n v="6"/>
    <n v="11"/>
    <n v="3"/>
    <n v="2"/>
    <n v="80"/>
    <n v="2"/>
    <n v="17"/>
    <n v="3"/>
    <n v="1"/>
    <n v="0"/>
    <n v="0"/>
    <n v="0"/>
  </r>
  <r>
    <s v="No"/>
    <s v="Travel_Frequently"/>
    <x v="0"/>
    <s v="Current Employees"/>
    <x v="1"/>
    <x v="4"/>
    <x v="251"/>
    <x v="251"/>
    <x v="0"/>
    <x v="4"/>
    <x v="0"/>
    <s v="No"/>
    <s v="Y"/>
    <n v="1"/>
    <n v="-2"/>
    <n v="0"/>
    <x v="22"/>
    <x v="1"/>
    <m/>
    <n v="0"/>
    <n v="1"/>
    <n v="505"/>
    <n v="2"/>
    <x v="2"/>
    <x v="0"/>
    <n v="4"/>
    <n v="64"/>
    <n v="3"/>
    <n v="3"/>
    <x v="0"/>
    <n v="10938"/>
    <n v="6420"/>
    <n v="0"/>
    <n v="25"/>
    <n v="4"/>
    <n v="4"/>
    <n v="80"/>
    <n v="0"/>
    <n v="20"/>
    <n v="3"/>
    <n v="19"/>
    <n v="6"/>
    <n v="11"/>
    <n v="8"/>
  </r>
  <r>
    <s v="No"/>
    <s v="Travel_Rarely"/>
    <x v="2"/>
    <s v="Current Employees"/>
    <x v="1"/>
    <x v="0"/>
    <x v="252"/>
    <x v="252"/>
    <x v="1"/>
    <x v="1"/>
    <x v="0"/>
    <s v="No"/>
    <s v="Y"/>
    <n v="1"/>
    <n v="-2"/>
    <n v="0"/>
    <x v="11"/>
    <x v="1"/>
    <m/>
    <n v="0"/>
    <n v="1"/>
    <n v="665"/>
    <n v="15"/>
    <x v="3"/>
    <x v="0"/>
    <n v="3"/>
    <n v="60"/>
    <n v="3"/>
    <n v="1"/>
    <x v="1"/>
    <n v="2340"/>
    <n v="22673"/>
    <n v="1"/>
    <n v="19"/>
    <n v="3"/>
    <n v="1"/>
    <n v="80"/>
    <n v="0"/>
    <n v="6"/>
    <n v="3"/>
    <n v="6"/>
    <n v="5"/>
    <n v="1"/>
    <n v="5"/>
  </r>
  <r>
    <s v="No"/>
    <s v="Travel_Rarely"/>
    <x v="0"/>
    <s v="Current Employees"/>
    <x v="1"/>
    <x v="0"/>
    <x v="253"/>
    <x v="253"/>
    <x v="0"/>
    <x v="1"/>
    <x v="0"/>
    <s v="Yes"/>
    <s v="Y"/>
    <n v="1"/>
    <n v="-2"/>
    <n v="0"/>
    <x v="19"/>
    <x v="1"/>
    <m/>
    <n v="0"/>
    <n v="1"/>
    <n v="916"/>
    <n v="17"/>
    <x v="0"/>
    <x v="0"/>
    <n v="4"/>
    <n v="82"/>
    <n v="4"/>
    <n v="2"/>
    <x v="1"/>
    <n v="6545"/>
    <n v="23016"/>
    <n v="3"/>
    <n v="13"/>
    <n v="3"/>
    <n v="3"/>
    <n v="80"/>
    <n v="0"/>
    <n v="10"/>
    <n v="3"/>
    <n v="3"/>
    <n v="2"/>
    <n v="0"/>
    <n v="2"/>
  </r>
  <r>
    <s v="No"/>
    <s v="Travel_Rarely"/>
    <x v="2"/>
    <s v="Current Employees"/>
    <x v="0"/>
    <x v="3"/>
    <x v="254"/>
    <x v="254"/>
    <x v="1"/>
    <x v="0"/>
    <x v="2"/>
    <s v="No"/>
    <s v="Y"/>
    <n v="2"/>
    <n v="-2"/>
    <n v="0"/>
    <x v="11"/>
    <x v="1"/>
    <m/>
    <n v="0"/>
    <n v="1"/>
    <n v="1247"/>
    <n v="20"/>
    <x v="0"/>
    <x v="0"/>
    <n v="4"/>
    <n v="45"/>
    <n v="3"/>
    <n v="2"/>
    <x v="3"/>
    <n v="6931"/>
    <n v="10732"/>
    <n v="2"/>
    <n v="14"/>
    <n v="3"/>
    <n v="4"/>
    <n v="80"/>
    <n v="1"/>
    <n v="10"/>
    <n v="3"/>
    <n v="3"/>
    <n v="2"/>
    <n v="0"/>
    <n v="2"/>
  </r>
  <r>
    <s v="No"/>
    <s v="Travel_Rarely"/>
    <x v="2"/>
    <s v="Current Employees"/>
    <x v="1"/>
    <x v="0"/>
    <x v="255"/>
    <x v="255"/>
    <x v="0"/>
    <x v="3"/>
    <x v="1"/>
    <s v="No"/>
    <s v="Y"/>
    <n v="3"/>
    <n v="-2"/>
    <n v="0"/>
    <x v="36"/>
    <x v="1"/>
    <m/>
    <n v="0"/>
    <n v="1"/>
    <n v="685"/>
    <n v="1"/>
    <x v="3"/>
    <x v="0"/>
    <n v="1"/>
    <n v="62"/>
    <n v="3"/>
    <n v="2"/>
    <x v="1"/>
    <n v="4898"/>
    <n v="7505"/>
    <n v="0"/>
    <n v="12"/>
    <n v="3"/>
    <n v="4"/>
    <n v="80"/>
    <n v="2"/>
    <n v="5"/>
    <n v="3"/>
    <n v="4"/>
    <n v="2"/>
    <n v="1"/>
    <n v="2"/>
  </r>
  <r>
    <s v="No"/>
    <s v="Travel_Rarely"/>
    <x v="0"/>
    <s v="Current Employees"/>
    <x v="1"/>
    <x v="2"/>
    <x v="256"/>
    <x v="256"/>
    <x v="0"/>
    <x v="2"/>
    <x v="2"/>
    <s v="Yes"/>
    <s v="Y"/>
    <n v="4"/>
    <n v="-2"/>
    <n v="0"/>
    <x v="19"/>
    <x v="1"/>
    <m/>
    <n v="0"/>
    <n v="1"/>
    <n v="269"/>
    <n v="2"/>
    <x v="3"/>
    <x v="0"/>
    <n v="4"/>
    <n v="56"/>
    <n v="2"/>
    <n v="1"/>
    <x v="2"/>
    <n v="2593"/>
    <n v="8007"/>
    <n v="0"/>
    <n v="11"/>
    <n v="3"/>
    <n v="3"/>
    <n v="80"/>
    <n v="1"/>
    <n v="10"/>
    <n v="3"/>
    <n v="9"/>
    <n v="6"/>
    <n v="7"/>
    <n v="8"/>
  </r>
  <r>
    <s v="No"/>
    <s v="Travel_Rarely"/>
    <x v="0"/>
    <s v="Current Employees"/>
    <x v="1"/>
    <x v="2"/>
    <x v="257"/>
    <x v="257"/>
    <x v="1"/>
    <x v="7"/>
    <x v="2"/>
    <s v="No"/>
    <s v="Y"/>
    <n v="5"/>
    <n v="-2"/>
    <n v="0"/>
    <x v="32"/>
    <x v="1"/>
    <m/>
    <n v="0"/>
    <n v="1"/>
    <n v="1416"/>
    <n v="2"/>
    <x v="0"/>
    <x v="0"/>
    <n v="1"/>
    <n v="49"/>
    <n v="3"/>
    <n v="5"/>
    <x v="2"/>
    <n v="19436"/>
    <n v="5949"/>
    <n v="0"/>
    <n v="19"/>
    <n v="3"/>
    <n v="4"/>
    <n v="80"/>
    <n v="1"/>
    <n v="22"/>
    <n v="3"/>
    <n v="21"/>
    <n v="7"/>
    <n v="3"/>
    <n v="9"/>
  </r>
  <r>
    <s v="No"/>
    <s v="Travel_Rarely"/>
    <x v="1"/>
    <s v="Current Employees"/>
    <x v="1"/>
    <x v="0"/>
    <x v="258"/>
    <x v="258"/>
    <x v="1"/>
    <x v="1"/>
    <x v="1"/>
    <s v="No"/>
    <s v="Y"/>
    <n v="0"/>
    <n v="-2"/>
    <n v="0"/>
    <x v="31"/>
    <x v="1"/>
    <m/>
    <n v="0"/>
    <n v="1"/>
    <n v="833"/>
    <n v="1"/>
    <x v="3"/>
    <x v="0"/>
    <n v="3"/>
    <n v="96"/>
    <n v="3"/>
    <n v="1"/>
    <x v="1"/>
    <n v="2723"/>
    <n v="23231"/>
    <n v="1"/>
    <n v="11"/>
    <n v="3"/>
    <n v="2"/>
    <n v="80"/>
    <n v="0"/>
    <n v="1"/>
    <n v="2"/>
    <n v="1"/>
    <n v="0"/>
    <n v="0"/>
    <n v="0"/>
  </r>
  <r>
    <s v="Yes"/>
    <s v="Travel_Frequently"/>
    <x v="2"/>
    <s v="Ex-Employees"/>
    <x v="1"/>
    <x v="2"/>
    <x v="259"/>
    <x v="259"/>
    <x v="1"/>
    <x v="2"/>
    <x v="0"/>
    <s v="No"/>
    <s v="Y"/>
    <n v="2"/>
    <n v="-2"/>
    <n v="0"/>
    <x v="12"/>
    <x v="0"/>
    <n v="1"/>
    <n v="1"/>
    <n v="0"/>
    <n v="307"/>
    <n v="29"/>
    <x v="0"/>
    <x v="0"/>
    <n v="3"/>
    <n v="71"/>
    <n v="2"/>
    <n v="1"/>
    <x v="2"/>
    <n v="3479"/>
    <n v="11652"/>
    <n v="0"/>
    <n v="11"/>
    <n v="3"/>
    <n v="2"/>
    <n v="80"/>
    <n v="0"/>
    <n v="6"/>
    <n v="4"/>
    <n v="5"/>
    <n v="4"/>
    <n v="1"/>
    <n v="4"/>
  </r>
  <r>
    <s v="No"/>
    <s v="Travel_Frequently"/>
    <x v="2"/>
    <s v="Current Employees"/>
    <x v="1"/>
    <x v="0"/>
    <x v="260"/>
    <x v="260"/>
    <x v="1"/>
    <x v="2"/>
    <x v="1"/>
    <s v="No"/>
    <s v="Y"/>
    <n v="3"/>
    <n v="-2"/>
    <n v="0"/>
    <x v="5"/>
    <x v="1"/>
    <m/>
    <n v="0"/>
    <n v="1"/>
    <n v="1311"/>
    <n v="7"/>
    <x v="3"/>
    <x v="0"/>
    <n v="2"/>
    <n v="100"/>
    <n v="4"/>
    <n v="1"/>
    <x v="1"/>
    <n v="2794"/>
    <n v="26062"/>
    <n v="1"/>
    <n v="20"/>
    <n v="4"/>
    <n v="3"/>
    <n v="80"/>
    <n v="0"/>
    <n v="5"/>
    <n v="1"/>
    <n v="5"/>
    <n v="1"/>
    <n v="0"/>
    <n v="3"/>
  </r>
  <r>
    <s v="No"/>
    <s v="Non-Travel"/>
    <x v="0"/>
    <s v="Current Employees"/>
    <x v="0"/>
    <x v="0"/>
    <x v="261"/>
    <x v="261"/>
    <x v="1"/>
    <x v="0"/>
    <x v="1"/>
    <s v="No"/>
    <s v="Y"/>
    <n v="0"/>
    <n v="-2"/>
    <n v="0"/>
    <x v="8"/>
    <x v="1"/>
    <m/>
    <n v="0"/>
    <n v="1"/>
    <n v="1327"/>
    <n v="2"/>
    <x v="0"/>
    <x v="0"/>
    <n v="4"/>
    <n v="39"/>
    <n v="2"/>
    <n v="2"/>
    <x v="1"/>
    <n v="5249"/>
    <n v="19682"/>
    <n v="3"/>
    <n v="18"/>
    <n v="3"/>
    <n v="4"/>
    <n v="80"/>
    <n v="1"/>
    <n v="13"/>
    <n v="3"/>
    <n v="8"/>
    <n v="7"/>
    <n v="7"/>
    <n v="5"/>
  </r>
  <r>
    <s v="No"/>
    <s v="Travel_Rarely"/>
    <x v="2"/>
    <s v="Current Employees"/>
    <x v="1"/>
    <x v="4"/>
    <x v="262"/>
    <x v="262"/>
    <x v="1"/>
    <x v="2"/>
    <x v="0"/>
    <s v="No"/>
    <s v="Y"/>
    <n v="5"/>
    <n v="-2"/>
    <n v="0"/>
    <x v="5"/>
    <x v="1"/>
    <m/>
    <n v="0"/>
    <n v="1"/>
    <n v="128"/>
    <n v="2"/>
    <x v="1"/>
    <x v="0"/>
    <n v="4"/>
    <n v="84"/>
    <n v="2"/>
    <n v="2"/>
    <x v="0"/>
    <n v="2176"/>
    <n v="19737"/>
    <n v="4"/>
    <n v="13"/>
    <n v="3"/>
    <n v="4"/>
    <n v="80"/>
    <n v="0"/>
    <n v="9"/>
    <n v="3"/>
    <n v="6"/>
    <n v="2"/>
    <n v="0"/>
    <n v="4"/>
  </r>
  <r>
    <s v="No"/>
    <s v="Travel_Rarely"/>
    <x v="1"/>
    <s v="Current Employees"/>
    <x v="0"/>
    <x v="4"/>
    <x v="263"/>
    <x v="263"/>
    <x v="0"/>
    <x v="5"/>
    <x v="1"/>
    <s v="Yes"/>
    <s v="Y"/>
    <n v="2"/>
    <n v="-2"/>
    <n v="0"/>
    <x v="21"/>
    <x v="1"/>
    <m/>
    <n v="0"/>
    <n v="1"/>
    <n v="488"/>
    <n v="2"/>
    <x v="3"/>
    <x v="0"/>
    <n v="4"/>
    <n v="75"/>
    <n v="1"/>
    <n v="4"/>
    <x v="0"/>
    <n v="16872"/>
    <n v="14977"/>
    <n v="3"/>
    <n v="12"/>
    <n v="3"/>
    <n v="2"/>
    <n v="80"/>
    <n v="1"/>
    <n v="28"/>
    <n v="2"/>
    <n v="7"/>
    <n v="7"/>
    <n v="7"/>
    <n v="7"/>
  </r>
  <r>
    <s v="Yes"/>
    <s v="Travel_Rarely"/>
    <x v="2"/>
    <s v="Ex-Employees"/>
    <x v="1"/>
    <x v="0"/>
    <x v="264"/>
    <x v="264"/>
    <x v="1"/>
    <x v="2"/>
    <x v="0"/>
    <s v="No"/>
    <s v="Y"/>
    <n v="5"/>
    <n v="-2"/>
    <n v="0"/>
    <x v="14"/>
    <x v="0"/>
    <n v="1"/>
    <n v="1"/>
    <n v="0"/>
    <n v="529"/>
    <n v="2"/>
    <x v="2"/>
    <x v="0"/>
    <n v="1"/>
    <n v="79"/>
    <n v="3"/>
    <n v="1"/>
    <x v="1"/>
    <n v="3485"/>
    <n v="14935"/>
    <n v="2"/>
    <n v="11"/>
    <n v="3"/>
    <n v="3"/>
    <n v="80"/>
    <n v="0"/>
    <n v="5"/>
    <n v="1"/>
    <n v="0"/>
    <n v="0"/>
    <n v="0"/>
    <n v="0"/>
  </r>
  <r>
    <s v="No"/>
    <s v="Travel_Rarely"/>
    <x v="2"/>
    <s v="Current Employees"/>
    <x v="0"/>
    <x v="2"/>
    <x v="265"/>
    <x v="265"/>
    <x v="1"/>
    <x v="0"/>
    <x v="1"/>
    <s v="No"/>
    <s v="Y"/>
    <n v="2"/>
    <n v="-2"/>
    <n v="0"/>
    <x v="11"/>
    <x v="1"/>
    <m/>
    <n v="0"/>
    <n v="1"/>
    <n v="1210"/>
    <n v="2"/>
    <x v="3"/>
    <x v="0"/>
    <n v="1"/>
    <n v="78"/>
    <n v="2"/>
    <n v="2"/>
    <x v="2"/>
    <n v="6644"/>
    <n v="3687"/>
    <n v="2"/>
    <n v="19"/>
    <n v="3"/>
    <n v="2"/>
    <n v="80"/>
    <n v="2"/>
    <n v="10"/>
    <n v="3"/>
    <n v="0"/>
    <n v="0"/>
    <n v="0"/>
    <n v="0"/>
  </r>
  <r>
    <s v="No"/>
    <s v="Travel_Rarely"/>
    <x v="2"/>
    <s v="Current Employees"/>
    <x v="1"/>
    <x v="2"/>
    <x v="266"/>
    <x v="266"/>
    <x v="1"/>
    <x v="4"/>
    <x v="1"/>
    <s v="No"/>
    <s v="Y"/>
    <n v="2"/>
    <n v="-2"/>
    <n v="0"/>
    <x v="12"/>
    <x v="1"/>
    <m/>
    <n v="0"/>
    <n v="1"/>
    <n v="1463"/>
    <n v="23"/>
    <x v="3"/>
    <x v="0"/>
    <n v="2"/>
    <n v="64"/>
    <n v="2"/>
    <n v="2"/>
    <x v="0"/>
    <n v="5582"/>
    <n v="14408"/>
    <n v="0"/>
    <n v="21"/>
    <n v="4"/>
    <n v="2"/>
    <n v="80"/>
    <n v="1"/>
    <n v="10"/>
    <n v="3"/>
    <n v="9"/>
    <n v="0"/>
    <n v="7"/>
    <n v="8"/>
  </r>
  <r>
    <s v="No"/>
    <s v="Non-Travel"/>
    <x v="2"/>
    <s v="Current Employees"/>
    <x v="1"/>
    <x v="0"/>
    <x v="267"/>
    <x v="267"/>
    <x v="1"/>
    <x v="4"/>
    <x v="2"/>
    <s v="No"/>
    <s v="Y"/>
    <n v="2"/>
    <n v="-2"/>
    <n v="0"/>
    <x v="36"/>
    <x v="1"/>
    <m/>
    <n v="0"/>
    <n v="1"/>
    <n v="675"/>
    <n v="5"/>
    <x v="0"/>
    <x v="0"/>
    <n v="2"/>
    <n v="85"/>
    <n v="4"/>
    <n v="2"/>
    <x v="1"/>
    <n v="4000"/>
    <n v="18384"/>
    <n v="1"/>
    <n v="12"/>
    <n v="3"/>
    <n v="4"/>
    <n v="80"/>
    <n v="2"/>
    <n v="6"/>
    <n v="3"/>
    <n v="6"/>
    <n v="3"/>
    <n v="1"/>
    <n v="5"/>
  </r>
  <r>
    <s v="No"/>
    <s v="Travel_Rarely"/>
    <x v="1"/>
    <s v="Current Employees"/>
    <x v="1"/>
    <x v="2"/>
    <x v="268"/>
    <x v="268"/>
    <x v="1"/>
    <x v="4"/>
    <x v="1"/>
    <s v="Yes"/>
    <s v="Y"/>
    <n v="2"/>
    <n v="-2"/>
    <n v="0"/>
    <x v="28"/>
    <x v="1"/>
    <m/>
    <n v="0"/>
    <n v="1"/>
    <n v="1385"/>
    <n v="20"/>
    <x v="0"/>
    <x v="0"/>
    <n v="3"/>
    <n v="79"/>
    <n v="3"/>
    <n v="4"/>
    <x v="0"/>
    <n v="13496"/>
    <n v="7501"/>
    <n v="0"/>
    <n v="14"/>
    <n v="3"/>
    <n v="2"/>
    <n v="80"/>
    <n v="0"/>
    <n v="21"/>
    <n v="3"/>
    <n v="20"/>
    <n v="7"/>
    <n v="4"/>
    <n v="10"/>
  </r>
  <r>
    <s v="No"/>
    <s v="Travel_Rarely"/>
    <x v="0"/>
    <s v="Current Employees"/>
    <x v="1"/>
    <x v="0"/>
    <x v="269"/>
    <x v="269"/>
    <x v="1"/>
    <x v="2"/>
    <x v="1"/>
    <s v="No"/>
    <s v="Y"/>
    <n v="4"/>
    <n v="-2"/>
    <n v="0"/>
    <x v="9"/>
    <x v="1"/>
    <m/>
    <n v="0"/>
    <n v="1"/>
    <n v="1403"/>
    <n v="6"/>
    <x v="3"/>
    <x v="0"/>
    <n v="4"/>
    <n v="47"/>
    <n v="3"/>
    <n v="1"/>
    <x v="1"/>
    <n v="3210"/>
    <n v="20251"/>
    <n v="0"/>
    <n v="11"/>
    <n v="3"/>
    <n v="3"/>
    <n v="80"/>
    <n v="1"/>
    <n v="16"/>
    <n v="3"/>
    <n v="15"/>
    <n v="13"/>
    <n v="10"/>
    <n v="11"/>
  </r>
  <r>
    <s v="No"/>
    <s v="Travel_Rarely"/>
    <x v="3"/>
    <s v="Current Employees"/>
    <x v="1"/>
    <x v="2"/>
    <x v="270"/>
    <x v="270"/>
    <x v="1"/>
    <x v="5"/>
    <x v="0"/>
    <s v="Yes"/>
    <s v="Y"/>
    <n v="2"/>
    <n v="-2"/>
    <n v="0"/>
    <x v="27"/>
    <x v="1"/>
    <m/>
    <n v="0"/>
    <n v="1"/>
    <n v="452"/>
    <n v="1"/>
    <x v="3"/>
    <x v="0"/>
    <n v="4"/>
    <n v="81"/>
    <n v="3"/>
    <n v="5"/>
    <x v="2"/>
    <n v="19045"/>
    <n v="18938"/>
    <n v="0"/>
    <n v="14"/>
    <n v="3"/>
    <n v="3"/>
    <n v="80"/>
    <n v="0"/>
    <n v="37"/>
    <n v="3"/>
    <n v="36"/>
    <n v="10"/>
    <n v="4"/>
    <n v="13"/>
  </r>
  <r>
    <s v="Yes"/>
    <s v="Non-Travel"/>
    <x v="1"/>
    <s v="Ex-Employees"/>
    <x v="1"/>
    <x v="0"/>
    <x v="271"/>
    <x v="271"/>
    <x v="1"/>
    <x v="5"/>
    <x v="1"/>
    <s v="Yes"/>
    <s v="Y"/>
    <n v="2"/>
    <n v="-2"/>
    <n v="0"/>
    <x v="40"/>
    <x v="0"/>
    <n v="1"/>
    <n v="1"/>
    <n v="0"/>
    <n v="666"/>
    <n v="29"/>
    <x v="2"/>
    <x v="0"/>
    <n v="1"/>
    <n v="88"/>
    <n v="3"/>
    <n v="3"/>
    <x v="1"/>
    <n v="11849"/>
    <n v="10268"/>
    <n v="1"/>
    <n v="12"/>
    <n v="3"/>
    <n v="4"/>
    <n v="80"/>
    <n v="1"/>
    <n v="10"/>
    <n v="2"/>
    <n v="10"/>
    <n v="7"/>
    <n v="9"/>
    <n v="9"/>
  </r>
  <r>
    <s v="No"/>
    <s v="Travel_Rarely"/>
    <x v="2"/>
    <s v="Current Employees"/>
    <x v="1"/>
    <x v="2"/>
    <x v="272"/>
    <x v="272"/>
    <x v="1"/>
    <x v="1"/>
    <x v="1"/>
    <s v="No"/>
    <s v="Y"/>
    <n v="3"/>
    <n v="-2"/>
    <n v="0"/>
    <x v="14"/>
    <x v="1"/>
    <m/>
    <n v="0"/>
    <n v="1"/>
    <n v="1158"/>
    <n v="9"/>
    <x v="3"/>
    <x v="0"/>
    <n v="4"/>
    <n v="94"/>
    <n v="3"/>
    <n v="1"/>
    <x v="0"/>
    <n v="2070"/>
    <n v="2613"/>
    <n v="1"/>
    <n v="23"/>
    <n v="4"/>
    <n v="4"/>
    <n v="80"/>
    <n v="1"/>
    <n v="5"/>
    <n v="2"/>
    <n v="5"/>
    <n v="2"/>
    <n v="0"/>
    <n v="4"/>
  </r>
  <r>
    <s v="No"/>
    <s v="Travel_Rarely"/>
    <x v="0"/>
    <s v="Current Employees"/>
    <x v="0"/>
    <x v="2"/>
    <x v="273"/>
    <x v="273"/>
    <x v="1"/>
    <x v="0"/>
    <x v="1"/>
    <s v="No"/>
    <s v="Y"/>
    <n v="5"/>
    <n v="-2"/>
    <n v="0"/>
    <x v="2"/>
    <x v="1"/>
    <m/>
    <n v="0"/>
    <n v="1"/>
    <n v="228"/>
    <n v="6"/>
    <x v="2"/>
    <x v="0"/>
    <n v="3"/>
    <n v="98"/>
    <n v="3"/>
    <n v="2"/>
    <x v="0"/>
    <n v="6502"/>
    <n v="22825"/>
    <n v="4"/>
    <n v="14"/>
    <n v="3"/>
    <n v="2"/>
    <n v="80"/>
    <n v="1"/>
    <n v="7"/>
    <n v="4"/>
    <n v="5"/>
    <n v="4"/>
    <n v="0"/>
    <n v="1"/>
  </r>
  <r>
    <s v="No"/>
    <s v="Travel_Rarely"/>
    <x v="4"/>
    <s v="Current Employees"/>
    <x v="1"/>
    <x v="2"/>
    <x v="274"/>
    <x v="274"/>
    <x v="1"/>
    <x v="1"/>
    <x v="0"/>
    <s v="No"/>
    <s v="Y"/>
    <n v="4"/>
    <n v="-2"/>
    <n v="0"/>
    <x v="18"/>
    <x v="1"/>
    <m/>
    <n v="0"/>
    <n v="1"/>
    <n v="996"/>
    <n v="3"/>
    <x v="0"/>
    <x v="0"/>
    <n v="4"/>
    <n v="100"/>
    <n v="2"/>
    <n v="1"/>
    <x v="2"/>
    <n v="3230"/>
    <n v="10531"/>
    <n v="1"/>
    <n v="17"/>
    <n v="3"/>
    <n v="1"/>
    <n v="80"/>
    <n v="0"/>
    <n v="3"/>
    <n v="4"/>
    <n v="3"/>
    <n v="2"/>
    <n v="1"/>
    <n v="0"/>
  </r>
  <r>
    <s v="No"/>
    <s v="Non-Travel"/>
    <x v="0"/>
    <s v="Current Employees"/>
    <x v="1"/>
    <x v="2"/>
    <x v="275"/>
    <x v="275"/>
    <x v="0"/>
    <x v="7"/>
    <x v="2"/>
    <s v="Yes"/>
    <s v="Y"/>
    <n v="2"/>
    <n v="-2"/>
    <n v="0"/>
    <x v="2"/>
    <x v="1"/>
    <m/>
    <n v="0"/>
    <n v="1"/>
    <n v="728"/>
    <n v="1"/>
    <x v="2"/>
    <x v="0"/>
    <n v="1"/>
    <n v="80"/>
    <n v="3"/>
    <n v="3"/>
    <x v="0"/>
    <n v="13603"/>
    <n v="11677"/>
    <n v="2"/>
    <n v="18"/>
    <n v="3"/>
    <n v="1"/>
    <n v="80"/>
    <n v="2"/>
    <n v="15"/>
    <n v="3"/>
    <n v="5"/>
    <n v="2"/>
    <n v="0"/>
    <n v="2"/>
  </r>
  <r>
    <s v="No"/>
    <s v="Travel_Rarely"/>
    <x v="0"/>
    <s v="Current Employees"/>
    <x v="1"/>
    <x v="0"/>
    <x v="276"/>
    <x v="276"/>
    <x v="0"/>
    <x v="5"/>
    <x v="2"/>
    <s v="No"/>
    <s v="Y"/>
    <n v="6"/>
    <n v="-2"/>
    <n v="0"/>
    <x v="10"/>
    <x v="1"/>
    <m/>
    <n v="0"/>
    <n v="1"/>
    <n v="1315"/>
    <n v="22"/>
    <x v="3"/>
    <x v="0"/>
    <n v="2"/>
    <n v="71"/>
    <n v="4"/>
    <n v="3"/>
    <x v="1"/>
    <n v="11996"/>
    <n v="19100"/>
    <n v="7"/>
    <n v="18"/>
    <n v="3"/>
    <n v="2"/>
    <n v="80"/>
    <n v="1"/>
    <n v="10"/>
    <n v="2"/>
    <n v="7"/>
    <n v="7"/>
    <n v="6"/>
    <n v="2"/>
  </r>
  <r>
    <s v="No"/>
    <s v="Travel_Rarely"/>
    <x v="0"/>
    <s v="Current Employees"/>
    <x v="0"/>
    <x v="2"/>
    <x v="277"/>
    <x v="277"/>
    <x v="0"/>
    <x v="0"/>
    <x v="2"/>
    <s v="Yes"/>
    <s v="Y"/>
    <n v="3"/>
    <n v="-2"/>
    <n v="0"/>
    <x v="8"/>
    <x v="1"/>
    <m/>
    <n v="0"/>
    <n v="1"/>
    <n v="322"/>
    <n v="7"/>
    <x v="0"/>
    <x v="0"/>
    <n v="1"/>
    <n v="44"/>
    <n v="4"/>
    <n v="2"/>
    <x v="2"/>
    <n v="5605"/>
    <n v="19191"/>
    <n v="1"/>
    <n v="24"/>
    <n v="4"/>
    <n v="3"/>
    <n v="80"/>
    <n v="1"/>
    <n v="8"/>
    <n v="3"/>
    <n v="8"/>
    <n v="0"/>
    <n v="7"/>
    <n v="7"/>
  </r>
  <r>
    <s v="No"/>
    <s v="Travel_Frequently"/>
    <x v="2"/>
    <s v="Current Employees"/>
    <x v="1"/>
    <x v="0"/>
    <x v="278"/>
    <x v="278"/>
    <x v="0"/>
    <x v="3"/>
    <x v="2"/>
    <s v="No"/>
    <s v="Y"/>
    <n v="6"/>
    <n v="-2"/>
    <n v="0"/>
    <x v="25"/>
    <x v="1"/>
    <m/>
    <n v="0"/>
    <n v="1"/>
    <n v="1479"/>
    <n v="1"/>
    <x v="3"/>
    <x v="0"/>
    <n v="3"/>
    <n v="84"/>
    <n v="3"/>
    <n v="2"/>
    <x v="1"/>
    <n v="6397"/>
    <n v="26767"/>
    <n v="1"/>
    <n v="20"/>
    <n v="4"/>
    <n v="1"/>
    <n v="80"/>
    <n v="1"/>
    <n v="6"/>
    <n v="1"/>
    <n v="6"/>
    <n v="5"/>
    <n v="1"/>
    <n v="4"/>
  </r>
  <r>
    <s v="No"/>
    <s v="Travel_Rarely"/>
    <x v="1"/>
    <s v="Current Employees"/>
    <x v="1"/>
    <x v="0"/>
    <x v="279"/>
    <x v="279"/>
    <x v="1"/>
    <x v="7"/>
    <x v="2"/>
    <s v="No"/>
    <s v="Y"/>
    <n v="4"/>
    <n v="-2"/>
    <n v="0"/>
    <x v="24"/>
    <x v="1"/>
    <m/>
    <n v="0"/>
    <n v="1"/>
    <n v="797"/>
    <n v="4"/>
    <x v="1"/>
    <x v="0"/>
    <n v="1"/>
    <n v="96"/>
    <n v="3"/>
    <n v="5"/>
    <x v="1"/>
    <n v="19144"/>
    <n v="15815"/>
    <n v="3"/>
    <n v="14"/>
    <n v="3"/>
    <n v="1"/>
    <n v="80"/>
    <n v="2"/>
    <n v="28"/>
    <n v="2"/>
    <n v="10"/>
    <n v="4"/>
    <n v="1"/>
    <n v="6"/>
  </r>
  <r>
    <s v="No"/>
    <s v="Travel_Rarely"/>
    <x v="1"/>
    <s v="Current Employees"/>
    <x v="1"/>
    <x v="2"/>
    <x v="280"/>
    <x v="280"/>
    <x v="1"/>
    <x v="7"/>
    <x v="1"/>
    <s v="Yes"/>
    <s v="Y"/>
    <n v="5"/>
    <n v="-2"/>
    <n v="0"/>
    <x v="16"/>
    <x v="1"/>
    <m/>
    <n v="0"/>
    <n v="1"/>
    <n v="1070"/>
    <n v="3"/>
    <x v="2"/>
    <x v="0"/>
    <n v="3"/>
    <n v="45"/>
    <n v="3"/>
    <n v="4"/>
    <x v="2"/>
    <n v="17584"/>
    <n v="21016"/>
    <n v="3"/>
    <n v="16"/>
    <n v="3"/>
    <n v="4"/>
    <n v="80"/>
    <n v="3"/>
    <n v="21"/>
    <n v="2"/>
    <n v="5"/>
    <n v="3"/>
    <n v="1"/>
    <n v="3"/>
  </r>
  <r>
    <s v="No"/>
    <s v="Travel_Rarely"/>
    <x v="0"/>
    <s v="Current Employees"/>
    <x v="0"/>
    <x v="0"/>
    <x v="281"/>
    <x v="281"/>
    <x v="1"/>
    <x v="0"/>
    <x v="1"/>
    <s v="No"/>
    <s v="Y"/>
    <n v="3"/>
    <n v="-2"/>
    <n v="0"/>
    <x v="19"/>
    <x v="1"/>
    <m/>
    <n v="0"/>
    <n v="1"/>
    <n v="635"/>
    <n v="1"/>
    <x v="1"/>
    <x v="0"/>
    <n v="2"/>
    <n v="99"/>
    <n v="3"/>
    <n v="2"/>
    <x v="1"/>
    <n v="4907"/>
    <n v="24532"/>
    <n v="1"/>
    <n v="25"/>
    <n v="4"/>
    <n v="3"/>
    <n v="80"/>
    <n v="0"/>
    <n v="20"/>
    <n v="3"/>
    <n v="20"/>
    <n v="16"/>
    <n v="11"/>
    <n v="6"/>
  </r>
  <r>
    <s v="No"/>
    <s v="Travel_Frequently"/>
    <x v="2"/>
    <s v="Current Employees"/>
    <x v="0"/>
    <x v="0"/>
    <x v="282"/>
    <x v="282"/>
    <x v="1"/>
    <x v="0"/>
    <x v="0"/>
    <s v="No"/>
    <s v="Y"/>
    <n v="3"/>
    <n v="-2"/>
    <n v="0"/>
    <x v="11"/>
    <x v="1"/>
    <m/>
    <n v="0"/>
    <n v="1"/>
    <n v="442"/>
    <n v="2"/>
    <x v="0"/>
    <x v="0"/>
    <n v="2"/>
    <n v="44"/>
    <n v="3"/>
    <n v="2"/>
    <x v="1"/>
    <n v="4554"/>
    <n v="20260"/>
    <n v="1"/>
    <n v="18"/>
    <n v="3"/>
    <n v="1"/>
    <n v="80"/>
    <n v="0"/>
    <n v="10"/>
    <n v="2"/>
    <n v="10"/>
    <n v="7"/>
    <n v="0"/>
    <n v="9"/>
  </r>
  <r>
    <s v="No"/>
    <s v="Travel_Rarely"/>
    <x v="3"/>
    <s v="Current Employees"/>
    <x v="1"/>
    <x v="4"/>
    <x v="283"/>
    <x v="283"/>
    <x v="1"/>
    <x v="2"/>
    <x v="1"/>
    <s v="Yes"/>
    <s v="Y"/>
    <n v="4"/>
    <n v="-2"/>
    <n v="0"/>
    <x v="27"/>
    <x v="1"/>
    <m/>
    <n v="0"/>
    <n v="1"/>
    <n v="147"/>
    <n v="20"/>
    <x v="0"/>
    <x v="0"/>
    <n v="4"/>
    <n v="37"/>
    <n v="3"/>
    <n v="2"/>
    <x v="0"/>
    <n v="5415"/>
    <n v="15972"/>
    <n v="3"/>
    <n v="19"/>
    <n v="3"/>
    <n v="4"/>
    <n v="80"/>
    <n v="1"/>
    <n v="12"/>
    <n v="3"/>
    <n v="10"/>
    <n v="7"/>
    <n v="0"/>
    <n v="8"/>
  </r>
  <r>
    <s v="No"/>
    <s v="Travel_Frequently"/>
    <x v="2"/>
    <s v="Current Employees"/>
    <x v="1"/>
    <x v="2"/>
    <x v="284"/>
    <x v="284"/>
    <x v="1"/>
    <x v="4"/>
    <x v="1"/>
    <s v="Yes"/>
    <s v="Y"/>
    <n v="3"/>
    <n v="-2"/>
    <n v="0"/>
    <x v="25"/>
    <x v="1"/>
    <m/>
    <n v="0"/>
    <n v="1"/>
    <n v="496"/>
    <n v="11"/>
    <x v="0"/>
    <x v="0"/>
    <n v="1"/>
    <n v="60"/>
    <n v="3"/>
    <n v="2"/>
    <x v="2"/>
    <n v="4741"/>
    <n v="22722"/>
    <n v="1"/>
    <n v="13"/>
    <n v="3"/>
    <n v="3"/>
    <n v="80"/>
    <n v="1"/>
    <n v="5"/>
    <n v="3"/>
    <n v="5"/>
    <n v="3"/>
    <n v="3"/>
    <n v="3"/>
  </r>
  <r>
    <s v="No"/>
    <s v="Travel_Rarely"/>
    <x v="0"/>
    <s v="Current Employees"/>
    <x v="1"/>
    <x v="0"/>
    <x v="285"/>
    <x v="285"/>
    <x v="0"/>
    <x v="1"/>
    <x v="0"/>
    <s v="No"/>
    <s v="Y"/>
    <n v="3"/>
    <n v="-2"/>
    <n v="0"/>
    <x v="2"/>
    <x v="1"/>
    <m/>
    <n v="0"/>
    <n v="1"/>
    <n v="1372"/>
    <n v="1"/>
    <x v="3"/>
    <x v="0"/>
    <n v="4"/>
    <n v="42"/>
    <n v="3"/>
    <n v="1"/>
    <x v="1"/>
    <n v="2115"/>
    <n v="15881"/>
    <n v="1"/>
    <n v="12"/>
    <n v="3"/>
    <n v="2"/>
    <n v="80"/>
    <n v="0"/>
    <n v="17"/>
    <n v="3"/>
    <n v="17"/>
    <n v="12"/>
    <n v="5"/>
    <n v="7"/>
  </r>
  <r>
    <s v="Yes"/>
    <s v="Travel_Frequently"/>
    <x v="0"/>
    <s v="Ex-Employees"/>
    <x v="1"/>
    <x v="0"/>
    <x v="286"/>
    <x v="286"/>
    <x v="1"/>
    <x v="2"/>
    <x v="2"/>
    <s v="Yes"/>
    <s v="Y"/>
    <n v="0"/>
    <n v="-2"/>
    <n v="0"/>
    <x v="20"/>
    <x v="0"/>
    <n v="1"/>
    <n v="1"/>
    <n v="0"/>
    <n v="920"/>
    <n v="24"/>
    <x v="3"/>
    <x v="0"/>
    <n v="4"/>
    <n v="43"/>
    <n v="3"/>
    <n v="1"/>
    <x v="1"/>
    <n v="3161"/>
    <n v="19920"/>
    <n v="3"/>
    <n v="22"/>
    <n v="4"/>
    <n v="4"/>
    <n v="80"/>
    <n v="1"/>
    <n v="19"/>
    <n v="1"/>
    <n v="1"/>
    <n v="0"/>
    <n v="0"/>
    <n v="0"/>
  </r>
  <r>
    <s v="No"/>
    <s v="Travel_Rarely"/>
    <x v="0"/>
    <s v="Current Employees"/>
    <x v="1"/>
    <x v="0"/>
    <x v="287"/>
    <x v="287"/>
    <x v="1"/>
    <x v="4"/>
    <x v="2"/>
    <s v="No"/>
    <s v="Y"/>
    <n v="2"/>
    <n v="-2"/>
    <n v="0"/>
    <x v="8"/>
    <x v="1"/>
    <m/>
    <n v="0"/>
    <n v="1"/>
    <n v="688"/>
    <n v="23"/>
    <x v="2"/>
    <x v="0"/>
    <n v="4"/>
    <n v="82"/>
    <n v="3"/>
    <n v="2"/>
    <x v="1"/>
    <n v="5745"/>
    <n v="18899"/>
    <n v="9"/>
    <n v="14"/>
    <n v="3"/>
    <n v="2"/>
    <n v="80"/>
    <n v="1"/>
    <n v="10"/>
    <n v="3"/>
    <n v="2"/>
    <n v="2"/>
    <n v="1"/>
    <n v="2"/>
  </r>
  <r>
    <s v="Yes"/>
    <s v="Travel_Rarely"/>
    <x v="2"/>
    <s v="Ex-Employees"/>
    <x v="1"/>
    <x v="2"/>
    <x v="288"/>
    <x v="288"/>
    <x v="1"/>
    <x v="2"/>
    <x v="2"/>
    <s v="Yes"/>
    <s v="Y"/>
    <n v="2"/>
    <n v="-2"/>
    <n v="0"/>
    <x v="25"/>
    <x v="0"/>
    <n v="1"/>
    <n v="1"/>
    <n v="0"/>
    <n v="1449"/>
    <n v="16"/>
    <x v="2"/>
    <x v="0"/>
    <n v="1"/>
    <n v="45"/>
    <n v="3"/>
    <n v="1"/>
    <x v="2"/>
    <n v="2373"/>
    <n v="14180"/>
    <n v="2"/>
    <n v="13"/>
    <n v="3"/>
    <n v="4"/>
    <n v="80"/>
    <n v="1"/>
    <n v="5"/>
    <n v="3"/>
    <n v="3"/>
    <n v="2"/>
    <n v="0"/>
    <n v="2"/>
  </r>
  <r>
    <s v="No"/>
    <s v="Travel_Rarely"/>
    <x v="2"/>
    <s v="Current Employees"/>
    <x v="1"/>
    <x v="0"/>
    <x v="289"/>
    <x v="289"/>
    <x v="0"/>
    <x v="1"/>
    <x v="0"/>
    <s v="No"/>
    <s v="Y"/>
    <n v="3"/>
    <n v="-2"/>
    <n v="0"/>
    <x v="14"/>
    <x v="1"/>
    <m/>
    <n v="0"/>
    <n v="1"/>
    <n v="1117"/>
    <n v="8"/>
    <x v="0"/>
    <x v="0"/>
    <n v="4"/>
    <n v="66"/>
    <n v="3"/>
    <n v="1"/>
    <x v="1"/>
    <n v="3310"/>
    <n v="4488"/>
    <n v="1"/>
    <n v="21"/>
    <n v="4"/>
    <n v="4"/>
    <n v="80"/>
    <n v="0"/>
    <n v="5"/>
    <n v="3"/>
    <n v="5"/>
    <n v="3"/>
    <n v="0"/>
    <n v="2"/>
  </r>
  <r>
    <s v="No"/>
    <s v="Travel_Frequently"/>
    <x v="1"/>
    <s v="Current Employees"/>
    <x v="1"/>
    <x v="0"/>
    <x v="290"/>
    <x v="290"/>
    <x v="0"/>
    <x v="7"/>
    <x v="0"/>
    <s v="Yes"/>
    <s v="Y"/>
    <n v="4"/>
    <n v="-2"/>
    <n v="0"/>
    <x v="1"/>
    <x v="1"/>
    <m/>
    <n v="0"/>
    <n v="1"/>
    <n v="636"/>
    <n v="10"/>
    <x v="2"/>
    <x v="0"/>
    <n v="3"/>
    <n v="35"/>
    <n v="3"/>
    <n v="5"/>
    <x v="1"/>
    <n v="18665"/>
    <n v="25594"/>
    <n v="9"/>
    <n v="11"/>
    <n v="3"/>
    <n v="4"/>
    <n v="80"/>
    <n v="0"/>
    <n v="22"/>
    <n v="3"/>
    <n v="3"/>
    <n v="2"/>
    <n v="1"/>
    <n v="2"/>
  </r>
  <r>
    <s v="No"/>
    <s v="Travel_Rarely"/>
    <x v="0"/>
    <s v="Current Employees"/>
    <x v="1"/>
    <x v="4"/>
    <x v="291"/>
    <x v="291"/>
    <x v="1"/>
    <x v="1"/>
    <x v="0"/>
    <s v="No"/>
    <s v="Y"/>
    <n v="2"/>
    <n v="-2"/>
    <n v="0"/>
    <x v="9"/>
    <x v="1"/>
    <m/>
    <n v="0"/>
    <n v="1"/>
    <n v="506"/>
    <n v="3"/>
    <x v="3"/>
    <x v="0"/>
    <n v="4"/>
    <n v="30"/>
    <n v="3"/>
    <n v="2"/>
    <x v="0"/>
    <n v="4485"/>
    <n v="26285"/>
    <n v="4"/>
    <n v="12"/>
    <n v="3"/>
    <n v="4"/>
    <n v="80"/>
    <n v="0"/>
    <n v="10"/>
    <n v="3"/>
    <n v="8"/>
    <n v="0"/>
    <n v="7"/>
    <n v="7"/>
  </r>
  <r>
    <s v="No"/>
    <s v="Travel_Frequently"/>
    <x v="2"/>
    <s v="Current Employees"/>
    <x v="0"/>
    <x v="3"/>
    <x v="292"/>
    <x v="292"/>
    <x v="0"/>
    <x v="6"/>
    <x v="2"/>
    <s v="No"/>
    <s v="Y"/>
    <n v="5"/>
    <n v="-2"/>
    <n v="0"/>
    <x v="12"/>
    <x v="1"/>
    <m/>
    <n v="0"/>
    <n v="1"/>
    <n v="444"/>
    <n v="5"/>
    <x v="3"/>
    <x v="0"/>
    <n v="4"/>
    <n v="84"/>
    <n v="3"/>
    <n v="1"/>
    <x v="3"/>
    <n v="2789"/>
    <n v="3909"/>
    <n v="1"/>
    <n v="11"/>
    <n v="3"/>
    <n v="3"/>
    <n v="80"/>
    <n v="1"/>
    <n v="2"/>
    <n v="2"/>
    <n v="2"/>
    <n v="2"/>
    <n v="2"/>
    <n v="2"/>
  </r>
  <r>
    <s v="Yes"/>
    <s v="Travel_Rarely"/>
    <x v="2"/>
    <s v="Ex-Employees"/>
    <x v="0"/>
    <x v="3"/>
    <x v="293"/>
    <x v="293"/>
    <x v="1"/>
    <x v="0"/>
    <x v="0"/>
    <s v="Yes"/>
    <s v="Y"/>
    <n v="0"/>
    <n v="-2"/>
    <n v="0"/>
    <x v="25"/>
    <x v="0"/>
    <n v="1"/>
    <n v="1"/>
    <n v="0"/>
    <n v="950"/>
    <n v="4"/>
    <x v="2"/>
    <x v="0"/>
    <n v="4"/>
    <n v="48"/>
    <n v="2"/>
    <n v="2"/>
    <x v="3"/>
    <n v="5828"/>
    <n v="8450"/>
    <n v="1"/>
    <n v="12"/>
    <n v="3"/>
    <n v="2"/>
    <n v="80"/>
    <n v="0"/>
    <n v="8"/>
    <n v="3"/>
    <n v="8"/>
    <n v="7"/>
    <n v="7"/>
    <n v="4"/>
  </r>
  <r>
    <s v="No"/>
    <s v="Travel_Frequently"/>
    <x v="0"/>
    <s v="Current Employees"/>
    <x v="1"/>
    <x v="2"/>
    <x v="294"/>
    <x v="294"/>
    <x v="1"/>
    <x v="1"/>
    <x v="1"/>
    <s v="Yes"/>
    <s v="Y"/>
    <n v="3"/>
    <n v="-2"/>
    <n v="0"/>
    <x v="2"/>
    <x v="1"/>
    <m/>
    <n v="0"/>
    <n v="1"/>
    <n v="889"/>
    <n v="9"/>
    <x v="3"/>
    <x v="0"/>
    <n v="2"/>
    <n v="53"/>
    <n v="3"/>
    <n v="1"/>
    <x v="0"/>
    <n v="2326"/>
    <n v="11411"/>
    <n v="1"/>
    <n v="12"/>
    <n v="3"/>
    <n v="3"/>
    <n v="80"/>
    <n v="3"/>
    <n v="4"/>
    <n v="2"/>
    <n v="4"/>
    <n v="2"/>
    <n v="1"/>
    <n v="2"/>
  </r>
  <r>
    <s v="No"/>
    <s v="Travel_Frequently"/>
    <x v="0"/>
    <s v="Current Employees"/>
    <x v="0"/>
    <x v="3"/>
    <x v="295"/>
    <x v="295"/>
    <x v="0"/>
    <x v="0"/>
    <x v="1"/>
    <s v="No"/>
    <s v="Y"/>
    <n v="2"/>
    <n v="-2"/>
    <n v="0"/>
    <x v="19"/>
    <x v="1"/>
    <m/>
    <n v="0"/>
    <n v="1"/>
    <n v="555"/>
    <n v="26"/>
    <x v="3"/>
    <x v="0"/>
    <n v="3"/>
    <n v="77"/>
    <n v="3"/>
    <n v="4"/>
    <x v="3"/>
    <n v="13525"/>
    <n v="14864"/>
    <n v="5"/>
    <n v="14"/>
    <n v="3"/>
    <n v="4"/>
    <n v="80"/>
    <n v="1"/>
    <n v="23"/>
    <n v="4"/>
    <n v="20"/>
    <n v="4"/>
    <n v="4"/>
    <n v="8"/>
  </r>
  <r>
    <s v="Yes"/>
    <s v="Travel_Rarely"/>
    <x v="4"/>
    <s v="Ex-Employees"/>
    <x v="1"/>
    <x v="0"/>
    <x v="296"/>
    <x v="296"/>
    <x v="1"/>
    <x v="2"/>
    <x v="0"/>
    <s v="No"/>
    <s v="Y"/>
    <n v="2"/>
    <n v="-2"/>
    <n v="0"/>
    <x v="41"/>
    <x v="0"/>
    <n v="1"/>
    <n v="1"/>
    <n v="0"/>
    <n v="230"/>
    <n v="3"/>
    <x v="3"/>
    <x v="0"/>
    <n v="3"/>
    <n v="54"/>
    <n v="3"/>
    <n v="1"/>
    <x v="1"/>
    <n v="1420"/>
    <n v="25233"/>
    <n v="1"/>
    <n v="13"/>
    <n v="3"/>
    <n v="3"/>
    <n v="80"/>
    <n v="0"/>
    <n v="0"/>
    <n v="3"/>
    <n v="0"/>
    <n v="0"/>
    <n v="0"/>
    <n v="0"/>
  </r>
  <r>
    <s v="No"/>
    <s v="Travel_Rarely"/>
    <x v="0"/>
    <s v="Current Employees"/>
    <x v="0"/>
    <x v="3"/>
    <x v="297"/>
    <x v="297"/>
    <x v="1"/>
    <x v="0"/>
    <x v="1"/>
    <s v="No"/>
    <s v="Y"/>
    <n v="3"/>
    <n v="-2"/>
    <n v="0"/>
    <x v="10"/>
    <x v="1"/>
    <m/>
    <n v="0"/>
    <n v="1"/>
    <n v="1232"/>
    <n v="16"/>
    <x v="3"/>
    <x v="0"/>
    <n v="3"/>
    <n v="96"/>
    <n v="3"/>
    <n v="3"/>
    <x v="3"/>
    <n v="8020"/>
    <n v="5100"/>
    <n v="0"/>
    <n v="15"/>
    <n v="3"/>
    <n v="3"/>
    <n v="80"/>
    <n v="2"/>
    <n v="12"/>
    <n v="2"/>
    <n v="11"/>
    <n v="9"/>
    <n v="6"/>
    <n v="9"/>
  </r>
  <r>
    <s v="No"/>
    <s v="Travel_Frequently"/>
    <x v="0"/>
    <s v="Current Employees"/>
    <x v="1"/>
    <x v="0"/>
    <x v="298"/>
    <x v="298"/>
    <x v="1"/>
    <x v="2"/>
    <x v="1"/>
    <s v="No"/>
    <s v="Y"/>
    <n v="2"/>
    <n v="-2"/>
    <n v="0"/>
    <x v="9"/>
    <x v="1"/>
    <m/>
    <n v="0"/>
    <n v="1"/>
    <n v="566"/>
    <n v="18"/>
    <x v="2"/>
    <x v="0"/>
    <n v="3"/>
    <n v="81"/>
    <n v="4"/>
    <n v="1"/>
    <x v="1"/>
    <n v="3688"/>
    <n v="7122"/>
    <n v="4"/>
    <n v="18"/>
    <n v="3"/>
    <n v="4"/>
    <n v="80"/>
    <n v="2"/>
    <n v="4"/>
    <n v="3"/>
    <n v="1"/>
    <n v="0"/>
    <n v="0"/>
    <n v="0"/>
  </r>
  <r>
    <s v="No"/>
    <s v="Travel_Rarely"/>
    <x v="1"/>
    <s v="Current Employees"/>
    <x v="1"/>
    <x v="2"/>
    <x v="299"/>
    <x v="299"/>
    <x v="1"/>
    <x v="3"/>
    <x v="2"/>
    <s v="No"/>
    <s v="Y"/>
    <n v="3"/>
    <n v="-2"/>
    <n v="0"/>
    <x v="31"/>
    <x v="1"/>
    <m/>
    <n v="0"/>
    <n v="1"/>
    <n v="1302"/>
    <n v="2"/>
    <x v="3"/>
    <x v="0"/>
    <n v="4"/>
    <n v="84"/>
    <n v="1"/>
    <n v="2"/>
    <x v="2"/>
    <n v="5482"/>
    <n v="16321"/>
    <n v="5"/>
    <n v="18"/>
    <n v="3"/>
    <n v="4"/>
    <n v="80"/>
    <n v="1"/>
    <n v="13"/>
    <n v="3"/>
    <n v="4"/>
    <n v="1"/>
    <n v="1"/>
    <n v="2"/>
  </r>
  <r>
    <s v="No"/>
    <s v="Travel_Rarely"/>
    <x v="0"/>
    <s v="Current Employees"/>
    <x v="0"/>
    <x v="0"/>
    <x v="300"/>
    <x v="300"/>
    <x v="1"/>
    <x v="5"/>
    <x v="0"/>
    <s v="No"/>
    <s v="Y"/>
    <n v="2"/>
    <n v="-2"/>
    <n v="0"/>
    <x v="0"/>
    <x v="1"/>
    <m/>
    <n v="0"/>
    <n v="1"/>
    <n v="334"/>
    <n v="2"/>
    <x v="2"/>
    <x v="0"/>
    <n v="4"/>
    <n v="88"/>
    <n v="3"/>
    <n v="4"/>
    <x v="1"/>
    <n v="16015"/>
    <n v="15896"/>
    <n v="1"/>
    <n v="19"/>
    <n v="3"/>
    <n v="2"/>
    <n v="80"/>
    <n v="0"/>
    <n v="22"/>
    <n v="3"/>
    <n v="22"/>
    <n v="10"/>
    <n v="0"/>
    <n v="4"/>
  </r>
  <r>
    <s v="No"/>
    <s v="Travel_Rarely"/>
    <x v="4"/>
    <s v="Current Employees"/>
    <x v="0"/>
    <x v="2"/>
    <x v="301"/>
    <x v="301"/>
    <x v="0"/>
    <x v="6"/>
    <x v="0"/>
    <s v="No"/>
    <s v="Y"/>
    <n v="2"/>
    <n v="-2"/>
    <n v="0"/>
    <x v="41"/>
    <x v="1"/>
    <m/>
    <n v="0"/>
    <n v="1"/>
    <n v="812"/>
    <n v="10"/>
    <x v="3"/>
    <x v="0"/>
    <n v="4"/>
    <n v="69"/>
    <n v="2"/>
    <n v="1"/>
    <x v="2"/>
    <n v="1200"/>
    <n v="9724"/>
    <n v="1"/>
    <n v="12"/>
    <n v="3"/>
    <n v="1"/>
    <n v="80"/>
    <n v="0"/>
    <n v="0"/>
    <n v="3"/>
    <n v="0"/>
    <n v="0"/>
    <n v="0"/>
    <n v="0"/>
  </r>
  <r>
    <s v="No"/>
    <s v="Travel_Rarely"/>
    <x v="2"/>
    <s v="Current Employees"/>
    <x v="1"/>
    <x v="2"/>
    <x v="302"/>
    <x v="302"/>
    <x v="1"/>
    <x v="4"/>
    <x v="0"/>
    <s v="No"/>
    <s v="Y"/>
    <n v="2"/>
    <n v="-2"/>
    <n v="0"/>
    <x v="14"/>
    <x v="1"/>
    <m/>
    <n v="0"/>
    <n v="1"/>
    <n v="1476"/>
    <n v="16"/>
    <x v="0"/>
    <x v="0"/>
    <n v="2"/>
    <n v="68"/>
    <n v="4"/>
    <n v="2"/>
    <x v="2"/>
    <n v="5661"/>
    <n v="4824"/>
    <n v="0"/>
    <n v="19"/>
    <n v="3"/>
    <n v="3"/>
    <n v="80"/>
    <n v="0"/>
    <n v="9"/>
    <n v="3"/>
    <n v="8"/>
    <n v="3"/>
    <n v="0"/>
    <n v="7"/>
  </r>
  <r>
    <s v="No"/>
    <s v="Travel_Rarely"/>
    <x v="2"/>
    <s v="Current Employees"/>
    <x v="0"/>
    <x v="4"/>
    <x v="303"/>
    <x v="303"/>
    <x v="1"/>
    <x v="0"/>
    <x v="1"/>
    <s v="No"/>
    <s v="Y"/>
    <n v="3"/>
    <n v="-2"/>
    <n v="0"/>
    <x v="12"/>
    <x v="1"/>
    <m/>
    <n v="0"/>
    <n v="1"/>
    <n v="218"/>
    <n v="7"/>
    <x v="3"/>
    <x v="0"/>
    <n v="4"/>
    <n v="100"/>
    <n v="4"/>
    <n v="2"/>
    <x v="0"/>
    <n v="6929"/>
    <n v="12241"/>
    <n v="4"/>
    <n v="11"/>
    <n v="3"/>
    <n v="2"/>
    <n v="80"/>
    <n v="1"/>
    <n v="10"/>
    <n v="2"/>
    <n v="8"/>
    <n v="7"/>
    <n v="7"/>
    <n v="7"/>
  </r>
  <r>
    <s v="No"/>
    <s v="Travel_Rarely"/>
    <x v="0"/>
    <s v="Current Employees"/>
    <x v="1"/>
    <x v="2"/>
    <x v="304"/>
    <x v="304"/>
    <x v="1"/>
    <x v="4"/>
    <x v="2"/>
    <s v="No"/>
    <s v="Y"/>
    <n v="5"/>
    <n v="-2"/>
    <n v="0"/>
    <x v="22"/>
    <x v="1"/>
    <m/>
    <n v="0"/>
    <n v="1"/>
    <n v="1132"/>
    <n v="1"/>
    <x v="3"/>
    <x v="0"/>
    <n v="3"/>
    <n v="48"/>
    <n v="4"/>
    <n v="3"/>
    <x v="0"/>
    <n v="9613"/>
    <n v="10942"/>
    <n v="0"/>
    <n v="17"/>
    <n v="3"/>
    <n v="1"/>
    <n v="80"/>
    <n v="3"/>
    <n v="19"/>
    <n v="2"/>
    <n v="18"/>
    <n v="10"/>
    <n v="3"/>
    <n v="7"/>
  </r>
  <r>
    <s v="No"/>
    <s v="Non-Travel"/>
    <x v="0"/>
    <s v="Current Employees"/>
    <x v="1"/>
    <x v="0"/>
    <x v="305"/>
    <x v="305"/>
    <x v="0"/>
    <x v="2"/>
    <x v="1"/>
    <s v="No"/>
    <s v="Y"/>
    <n v="3"/>
    <n v="-2"/>
    <n v="0"/>
    <x v="9"/>
    <x v="1"/>
    <m/>
    <n v="0"/>
    <n v="1"/>
    <n v="1105"/>
    <n v="24"/>
    <x v="2"/>
    <x v="0"/>
    <n v="2"/>
    <n v="47"/>
    <n v="3"/>
    <n v="2"/>
    <x v="1"/>
    <n v="5674"/>
    <n v="6927"/>
    <n v="7"/>
    <n v="15"/>
    <n v="3"/>
    <n v="3"/>
    <n v="80"/>
    <n v="1"/>
    <n v="11"/>
    <n v="3"/>
    <n v="9"/>
    <n v="8"/>
    <n v="0"/>
    <n v="8"/>
  </r>
  <r>
    <s v="No"/>
    <s v="Travel_Rarely"/>
    <x v="2"/>
    <s v="Current Employees"/>
    <x v="0"/>
    <x v="0"/>
    <x v="306"/>
    <x v="306"/>
    <x v="1"/>
    <x v="0"/>
    <x v="1"/>
    <s v="No"/>
    <s v="Y"/>
    <n v="3"/>
    <n v="-2"/>
    <n v="0"/>
    <x v="5"/>
    <x v="1"/>
    <m/>
    <n v="0"/>
    <n v="1"/>
    <n v="906"/>
    <n v="7"/>
    <x v="3"/>
    <x v="0"/>
    <n v="4"/>
    <n v="91"/>
    <n v="2"/>
    <n v="2"/>
    <x v="1"/>
    <n v="5484"/>
    <n v="16985"/>
    <n v="1"/>
    <n v="14"/>
    <n v="3"/>
    <n v="3"/>
    <n v="80"/>
    <n v="1"/>
    <n v="13"/>
    <n v="2"/>
    <n v="13"/>
    <n v="8"/>
    <n v="4"/>
    <n v="8"/>
  </r>
  <r>
    <s v="No"/>
    <s v="Travel_Rarely"/>
    <x v="0"/>
    <s v="Current Employees"/>
    <x v="1"/>
    <x v="0"/>
    <x v="307"/>
    <x v="307"/>
    <x v="0"/>
    <x v="7"/>
    <x v="1"/>
    <s v="No"/>
    <s v="Y"/>
    <n v="2"/>
    <n v="-2"/>
    <n v="0"/>
    <x v="8"/>
    <x v="1"/>
    <m/>
    <n v="0"/>
    <n v="1"/>
    <n v="849"/>
    <n v="25"/>
    <x v="0"/>
    <x v="0"/>
    <n v="1"/>
    <n v="81"/>
    <n v="2"/>
    <n v="3"/>
    <x v="1"/>
    <n v="12061"/>
    <n v="26707"/>
    <n v="3"/>
    <n v="17"/>
    <n v="3"/>
    <n v="3"/>
    <n v="80"/>
    <n v="1"/>
    <n v="19"/>
    <n v="3"/>
    <n v="10"/>
    <n v="8"/>
    <n v="0"/>
    <n v="1"/>
  </r>
  <r>
    <s v="No"/>
    <s v="Non-Travel"/>
    <x v="3"/>
    <s v="Current Employees"/>
    <x v="1"/>
    <x v="0"/>
    <x v="308"/>
    <x v="308"/>
    <x v="1"/>
    <x v="4"/>
    <x v="2"/>
    <s v="Yes"/>
    <s v="Y"/>
    <n v="2"/>
    <n v="-2"/>
    <n v="0"/>
    <x v="34"/>
    <x v="1"/>
    <m/>
    <n v="0"/>
    <n v="1"/>
    <n v="390"/>
    <n v="1"/>
    <x v="2"/>
    <x v="0"/>
    <n v="4"/>
    <n v="32"/>
    <n v="1"/>
    <n v="2"/>
    <x v="1"/>
    <n v="5660"/>
    <n v="17056"/>
    <n v="2"/>
    <n v="13"/>
    <n v="3"/>
    <n v="4"/>
    <n v="80"/>
    <n v="1"/>
    <n v="12"/>
    <n v="3"/>
    <n v="5"/>
    <n v="3"/>
    <n v="1"/>
    <n v="2"/>
  </r>
  <r>
    <s v="No"/>
    <s v="Travel_Rarely"/>
    <x v="2"/>
    <s v="Current Employees"/>
    <x v="1"/>
    <x v="4"/>
    <x v="309"/>
    <x v="309"/>
    <x v="1"/>
    <x v="1"/>
    <x v="1"/>
    <s v="Yes"/>
    <s v="Y"/>
    <n v="4"/>
    <n v="-2"/>
    <n v="0"/>
    <x v="12"/>
    <x v="1"/>
    <m/>
    <n v="0"/>
    <n v="1"/>
    <n v="691"/>
    <n v="5"/>
    <x v="2"/>
    <x v="0"/>
    <n v="4"/>
    <n v="86"/>
    <n v="3"/>
    <n v="1"/>
    <x v="0"/>
    <n v="4821"/>
    <n v="10077"/>
    <n v="0"/>
    <n v="12"/>
    <n v="3"/>
    <n v="3"/>
    <n v="80"/>
    <n v="1"/>
    <n v="6"/>
    <n v="3"/>
    <n v="5"/>
    <n v="2"/>
    <n v="0"/>
    <n v="3"/>
  </r>
  <r>
    <s v="No"/>
    <s v="Travel_Rarely"/>
    <x v="2"/>
    <s v="Current Employees"/>
    <x v="2"/>
    <x v="5"/>
    <x v="310"/>
    <x v="310"/>
    <x v="1"/>
    <x v="8"/>
    <x v="1"/>
    <s v="No"/>
    <s v="Y"/>
    <n v="1"/>
    <n v="-2"/>
    <n v="0"/>
    <x v="12"/>
    <x v="1"/>
    <m/>
    <n v="0"/>
    <n v="1"/>
    <n v="106"/>
    <n v="2"/>
    <x v="3"/>
    <x v="0"/>
    <n v="1"/>
    <n v="62"/>
    <n v="2"/>
    <n v="2"/>
    <x v="2"/>
    <n v="6410"/>
    <n v="17822"/>
    <n v="3"/>
    <n v="12"/>
    <n v="3"/>
    <n v="4"/>
    <n v="80"/>
    <n v="0"/>
    <n v="9"/>
    <n v="3"/>
    <n v="2"/>
    <n v="2"/>
    <n v="1"/>
    <n v="0"/>
  </r>
  <r>
    <s v="No"/>
    <s v="Travel_Frequently"/>
    <x v="1"/>
    <s v="Current Employees"/>
    <x v="1"/>
    <x v="0"/>
    <x v="311"/>
    <x v="311"/>
    <x v="1"/>
    <x v="2"/>
    <x v="2"/>
    <s v="No"/>
    <s v="Y"/>
    <n v="2"/>
    <n v="-2"/>
    <n v="0"/>
    <x v="28"/>
    <x v="1"/>
    <m/>
    <n v="0"/>
    <n v="1"/>
    <n v="1249"/>
    <n v="7"/>
    <x v="3"/>
    <x v="0"/>
    <n v="1"/>
    <n v="97"/>
    <n v="3"/>
    <n v="3"/>
    <x v="1"/>
    <n v="5210"/>
    <n v="20308"/>
    <n v="1"/>
    <n v="18"/>
    <n v="3"/>
    <n v="1"/>
    <n v="80"/>
    <n v="1"/>
    <n v="24"/>
    <n v="3"/>
    <n v="24"/>
    <n v="9"/>
    <n v="9"/>
    <n v="11"/>
  </r>
  <r>
    <s v="No"/>
    <s v="Travel_Rarely"/>
    <x v="2"/>
    <s v="Current Employees"/>
    <x v="1"/>
    <x v="0"/>
    <x v="312"/>
    <x v="312"/>
    <x v="1"/>
    <x v="1"/>
    <x v="2"/>
    <s v="Yes"/>
    <s v="Y"/>
    <n v="2"/>
    <n v="-2"/>
    <n v="0"/>
    <x v="12"/>
    <x v="1"/>
    <m/>
    <n v="0"/>
    <n v="1"/>
    <n v="192"/>
    <n v="2"/>
    <x v="2"/>
    <x v="0"/>
    <n v="3"/>
    <n v="32"/>
    <n v="3"/>
    <n v="1"/>
    <x v="1"/>
    <n v="2695"/>
    <n v="7747"/>
    <n v="0"/>
    <n v="18"/>
    <n v="3"/>
    <n v="2"/>
    <n v="80"/>
    <n v="1"/>
    <n v="3"/>
    <n v="1"/>
    <n v="2"/>
    <n v="2"/>
    <n v="2"/>
    <n v="2"/>
  </r>
  <r>
    <s v="No"/>
    <s v="Travel_Frequently"/>
    <x v="2"/>
    <s v="Current Employees"/>
    <x v="1"/>
    <x v="0"/>
    <x v="313"/>
    <x v="313"/>
    <x v="0"/>
    <x v="5"/>
    <x v="1"/>
    <s v="No"/>
    <s v="Y"/>
    <n v="2"/>
    <n v="-2"/>
    <n v="0"/>
    <x v="3"/>
    <x v="1"/>
    <m/>
    <n v="0"/>
    <n v="1"/>
    <n v="553"/>
    <n v="5"/>
    <x v="2"/>
    <x v="0"/>
    <n v="4"/>
    <n v="74"/>
    <n v="3"/>
    <n v="3"/>
    <x v="1"/>
    <n v="11878"/>
    <n v="23364"/>
    <n v="6"/>
    <n v="11"/>
    <n v="3"/>
    <n v="2"/>
    <n v="80"/>
    <n v="2"/>
    <n v="12"/>
    <n v="3"/>
    <n v="10"/>
    <n v="6"/>
    <n v="8"/>
    <n v="8"/>
  </r>
  <r>
    <s v="No"/>
    <s v="Travel_Rarely"/>
    <x v="0"/>
    <s v="Current Employees"/>
    <x v="1"/>
    <x v="2"/>
    <x v="314"/>
    <x v="314"/>
    <x v="1"/>
    <x v="5"/>
    <x v="1"/>
    <s v="Yes"/>
    <s v="Y"/>
    <n v="3"/>
    <n v="-2"/>
    <n v="0"/>
    <x v="22"/>
    <x v="1"/>
    <m/>
    <n v="0"/>
    <n v="1"/>
    <n v="117"/>
    <n v="10"/>
    <x v="1"/>
    <x v="0"/>
    <n v="3"/>
    <n v="99"/>
    <n v="3"/>
    <n v="4"/>
    <x v="2"/>
    <n v="17068"/>
    <n v="5355"/>
    <n v="1"/>
    <n v="14"/>
    <n v="3"/>
    <n v="4"/>
    <n v="80"/>
    <n v="0"/>
    <n v="21"/>
    <n v="3"/>
    <n v="21"/>
    <n v="9"/>
    <n v="11"/>
    <n v="10"/>
  </r>
  <r>
    <s v="No"/>
    <s v="Travel_Frequently"/>
    <x v="0"/>
    <s v="Current Employees"/>
    <x v="1"/>
    <x v="0"/>
    <x v="315"/>
    <x v="315"/>
    <x v="0"/>
    <x v="2"/>
    <x v="0"/>
    <s v="No"/>
    <s v="Y"/>
    <n v="5"/>
    <n v="-2"/>
    <n v="0"/>
    <x v="23"/>
    <x v="1"/>
    <m/>
    <n v="0"/>
    <n v="1"/>
    <n v="185"/>
    <n v="10"/>
    <x v="2"/>
    <x v="0"/>
    <n v="3"/>
    <n v="33"/>
    <n v="3"/>
    <n v="1"/>
    <x v="1"/>
    <n v="2455"/>
    <n v="10675"/>
    <n v="0"/>
    <n v="19"/>
    <n v="3"/>
    <n v="1"/>
    <n v="80"/>
    <n v="0"/>
    <n v="9"/>
    <n v="3"/>
    <n v="8"/>
    <n v="7"/>
    <n v="1"/>
    <n v="7"/>
  </r>
  <r>
    <s v="No"/>
    <s v="Travel_Rarely"/>
    <x v="1"/>
    <s v="Current Employees"/>
    <x v="1"/>
    <x v="4"/>
    <x v="316"/>
    <x v="316"/>
    <x v="0"/>
    <x v="4"/>
    <x v="0"/>
    <s v="Yes"/>
    <s v="Y"/>
    <n v="2"/>
    <n v="-2"/>
    <n v="0"/>
    <x v="1"/>
    <x v="1"/>
    <m/>
    <n v="0"/>
    <n v="1"/>
    <n v="1091"/>
    <n v="1"/>
    <x v="0"/>
    <x v="0"/>
    <n v="4"/>
    <n v="90"/>
    <n v="2"/>
    <n v="4"/>
    <x v="0"/>
    <n v="13964"/>
    <n v="17810"/>
    <n v="7"/>
    <n v="12"/>
    <n v="3"/>
    <n v="4"/>
    <n v="80"/>
    <n v="0"/>
    <n v="25"/>
    <n v="3"/>
    <n v="7"/>
    <n v="1"/>
    <n v="0"/>
    <n v="7"/>
  </r>
  <r>
    <s v="Yes"/>
    <s v="Travel_Rarely"/>
    <x v="1"/>
    <s v="Ex-Employees"/>
    <x v="1"/>
    <x v="2"/>
    <x v="317"/>
    <x v="317"/>
    <x v="1"/>
    <x v="1"/>
    <x v="1"/>
    <s v="No"/>
    <s v="Y"/>
    <n v="3"/>
    <n v="-2"/>
    <n v="0"/>
    <x v="39"/>
    <x v="0"/>
    <n v="1"/>
    <n v="1"/>
    <n v="0"/>
    <n v="723"/>
    <n v="8"/>
    <x v="2"/>
    <x v="0"/>
    <n v="3"/>
    <n v="85"/>
    <n v="2"/>
    <n v="2"/>
    <x v="2"/>
    <n v="4941"/>
    <n v="17747"/>
    <n v="2"/>
    <n v="15"/>
    <n v="3"/>
    <n v="1"/>
    <n v="80"/>
    <n v="0"/>
    <n v="11"/>
    <n v="2"/>
    <n v="8"/>
    <n v="2"/>
    <n v="7"/>
    <n v="7"/>
  </r>
  <r>
    <s v="No"/>
    <s v="Travel_Rarely"/>
    <x v="2"/>
    <s v="Current Employees"/>
    <x v="1"/>
    <x v="0"/>
    <x v="318"/>
    <x v="318"/>
    <x v="0"/>
    <x v="1"/>
    <x v="0"/>
    <s v="Yes"/>
    <s v="Y"/>
    <n v="2"/>
    <n v="-2"/>
    <n v="0"/>
    <x v="4"/>
    <x v="1"/>
    <m/>
    <n v="0"/>
    <n v="1"/>
    <n v="1220"/>
    <n v="5"/>
    <x v="3"/>
    <x v="0"/>
    <n v="3"/>
    <n v="85"/>
    <n v="3"/>
    <n v="1"/>
    <x v="1"/>
    <n v="2478"/>
    <n v="20938"/>
    <n v="1"/>
    <n v="12"/>
    <n v="3"/>
    <n v="2"/>
    <n v="80"/>
    <n v="0"/>
    <n v="4"/>
    <n v="2"/>
    <n v="4"/>
    <n v="3"/>
    <n v="1"/>
    <n v="2"/>
  </r>
  <r>
    <s v="No"/>
    <s v="Travel_Rarely"/>
    <x v="2"/>
    <s v="Current Employees"/>
    <x v="0"/>
    <x v="4"/>
    <x v="319"/>
    <x v="319"/>
    <x v="0"/>
    <x v="0"/>
    <x v="1"/>
    <s v="Yes"/>
    <s v="Y"/>
    <n v="2"/>
    <n v="-2"/>
    <n v="0"/>
    <x v="5"/>
    <x v="1"/>
    <m/>
    <n v="0"/>
    <n v="1"/>
    <n v="588"/>
    <n v="8"/>
    <x v="0"/>
    <x v="0"/>
    <n v="4"/>
    <n v="65"/>
    <n v="2"/>
    <n v="2"/>
    <x v="0"/>
    <n v="5228"/>
    <n v="24624"/>
    <n v="1"/>
    <n v="11"/>
    <n v="3"/>
    <n v="4"/>
    <n v="80"/>
    <n v="0"/>
    <n v="13"/>
    <n v="3"/>
    <n v="13"/>
    <n v="12"/>
    <n v="11"/>
    <n v="9"/>
  </r>
  <r>
    <s v="No"/>
    <s v="Travel_Rarely"/>
    <x v="2"/>
    <s v="Current Employees"/>
    <x v="0"/>
    <x v="0"/>
    <x v="320"/>
    <x v="320"/>
    <x v="1"/>
    <x v="0"/>
    <x v="0"/>
    <s v="Yes"/>
    <s v="Y"/>
    <n v="3"/>
    <n v="-2"/>
    <n v="0"/>
    <x v="4"/>
    <x v="1"/>
    <m/>
    <n v="0"/>
    <n v="1"/>
    <n v="1377"/>
    <n v="2"/>
    <x v="3"/>
    <x v="0"/>
    <n v="4"/>
    <n v="74"/>
    <n v="3"/>
    <n v="2"/>
    <x v="1"/>
    <n v="4478"/>
    <n v="5242"/>
    <n v="1"/>
    <n v="11"/>
    <n v="3"/>
    <n v="1"/>
    <n v="80"/>
    <n v="0"/>
    <n v="5"/>
    <n v="3"/>
    <n v="5"/>
    <n v="4"/>
    <n v="0"/>
    <n v="4"/>
  </r>
  <r>
    <s v="No"/>
    <s v="Travel_Rarely"/>
    <x v="2"/>
    <s v="Current Employees"/>
    <x v="0"/>
    <x v="3"/>
    <x v="321"/>
    <x v="321"/>
    <x v="1"/>
    <x v="0"/>
    <x v="2"/>
    <s v="No"/>
    <s v="Y"/>
    <n v="3"/>
    <n v="-2"/>
    <n v="0"/>
    <x v="12"/>
    <x v="1"/>
    <m/>
    <n v="0"/>
    <n v="1"/>
    <n v="691"/>
    <n v="7"/>
    <x v="3"/>
    <x v="0"/>
    <n v="4"/>
    <n v="73"/>
    <n v="3"/>
    <n v="2"/>
    <x v="3"/>
    <n v="7547"/>
    <n v="7143"/>
    <n v="4"/>
    <n v="12"/>
    <n v="3"/>
    <n v="4"/>
    <n v="80"/>
    <n v="3"/>
    <n v="13"/>
    <n v="3"/>
    <n v="7"/>
    <n v="7"/>
    <n v="1"/>
    <n v="7"/>
  </r>
  <r>
    <s v="No"/>
    <s v="Travel_Rarely"/>
    <x v="2"/>
    <s v="Current Employees"/>
    <x v="1"/>
    <x v="2"/>
    <x v="322"/>
    <x v="322"/>
    <x v="0"/>
    <x v="1"/>
    <x v="0"/>
    <s v="No"/>
    <s v="Y"/>
    <n v="0"/>
    <n v="-2"/>
    <n v="0"/>
    <x v="5"/>
    <x v="1"/>
    <m/>
    <n v="0"/>
    <n v="1"/>
    <n v="1018"/>
    <n v="2"/>
    <x v="2"/>
    <x v="0"/>
    <n v="1"/>
    <n v="74"/>
    <n v="4"/>
    <n v="2"/>
    <x v="0"/>
    <n v="5055"/>
    <n v="10557"/>
    <n v="7"/>
    <n v="16"/>
    <n v="3"/>
    <n v="3"/>
    <n v="80"/>
    <n v="0"/>
    <n v="10"/>
    <n v="2"/>
    <n v="7"/>
    <n v="7"/>
    <n v="0"/>
    <n v="7"/>
  </r>
  <r>
    <s v="Yes"/>
    <s v="Travel_Rarely"/>
    <x v="2"/>
    <s v="Ex-Employees"/>
    <x v="1"/>
    <x v="2"/>
    <x v="323"/>
    <x v="323"/>
    <x v="1"/>
    <x v="1"/>
    <x v="1"/>
    <s v="Yes"/>
    <s v="Y"/>
    <n v="4"/>
    <n v="-2"/>
    <n v="0"/>
    <x v="14"/>
    <x v="0"/>
    <n v="1"/>
    <n v="1"/>
    <n v="0"/>
    <n v="1157"/>
    <n v="2"/>
    <x v="2"/>
    <x v="0"/>
    <n v="1"/>
    <n v="84"/>
    <n v="1"/>
    <n v="1"/>
    <x v="0"/>
    <n v="3464"/>
    <n v="24737"/>
    <n v="5"/>
    <n v="13"/>
    <n v="3"/>
    <n v="4"/>
    <n v="80"/>
    <n v="0"/>
    <n v="5"/>
    <n v="2"/>
    <n v="3"/>
    <n v="2"/>
    <n v="2"/>
    <n v="2"/>
  </r>
  <r>
    <s v="No"/>
    <s v="Travel_Rarely"/>
    <x v="2"/>
    <s v="Current Employees"/>
    <x v="1"/>
    <x v="2"/>
    <x v="324"/>
    <x v="324"/>
    <x v="0"/>
    <x v="1"/>
    <x v="1"/>
    <s v="No"/>
    <s v="Y"/>
    <n v="2"/>
    <n v="-2"/>
    <n v="0"/>
    <x v="7"/>
    <x v="1"/>
    <m/>
    <n v="0"/>
    <n v="1"/>
    <n v="1275"/>
    <n v="28"/>
    <x v="0"/>
    <x v="0"/>
    <n v="4"/>
    <n v="64"/>
    <n v="3"/>
    <n v="2"/>
    <x v="0"/>
    <n v="5775"/>
    <n v="11934"/>
    <n v="1"/>
    <n v="13"/>
    <n v="3"/>
    <n v="4"/>
    <n v="80"/>
    <n v="2"/>
    <n v="11"/>
    <n v="3"/>
    <n v="10"/>
    <n v="8"/>
    <n v="1"/>
    <n v="9"/>
  </r>
  <r>
    <s v="No"/>
    <s v="Travel_Frequently"/>
    <x v="2"/>
    <s v="Current Employees"/>
    <x v="1"/>
    <x v="0"/>
    <x v="325"/>
    <x v="325"/>
    <x v="0"/>
    <x v="3"/>
    <x v="1"/>
    <s v="No"/>
    <s v="Y"/>
    <n v="2"/>
    <n v="-2"/>
    <n v="0"/>
    <x v="12"/>
    <x v="1"/>
    <m/>
    <n v="0"/>
    <n v="1"/>
    <n v="798"/>
    <n v="7"/>
    <x v="0"/>
    <x v="0"/>
    <n v="3"/>
    <n v="48"/>
    <n v="2"/>
    <n v="3"/>
    <x v="1"/>
    <n v="8943"/>
    <n v="14034"/>
    <n v="1"/>
    <n v="24"/>
    <n v="4"/>
    <n v="1"/>
    <n v="80"/>
    <n v="1"/>
    <n v="10"/>
    <n v="3"/>
    <n v="10"/>
    <n v="9"/>
    <n v="8"/>
    <n v="9"/>
  </r>
  <r>
    <s v="No"/>
    <s v="Travel_Frequently"/>
    <x v="0"/>
    <s v="Current Employees"/>
    <x v="1"/>
    <x v="2"/>
    <x v="326"/>
    <x v="326"/>
    <x v="1"/>
    <x v="5"/>
    <x v="1"/>
    <s v="No"/>
    <s v="Y"/>
    <n v="2"/>
    <n v="-2"/>
    <n v="0"/>
    <x v="22"/>
    <x v="1"/>
    <m/>
    <n v="0"/>
    <n v="1"/>
    <n v="672"/>
    <n v="7"/>
    <x v="0"/>
    <x v="0"/>
    <n v="3"/>
    <n v="54"/>
    <n v="2"/>
    <n v="5"/>
    <x v="0"/>
    <n v="19272"/>
    <n v="21141"/>
    <n v="1"/>
    <n v="15"/>
    <n v="3"/>
    <n v="1"/>
    <n v="80"/>
    <n v="1"/>
    <n v="21"/>
    <n v="3"/>
    <n v="21"/>
    <n v="9"/>
    <n v="13"/>
    <n v="3"/>
  </r>
  <r>
    <s v="Yes"/>
    <s v="Travel_Rarely"/>
    <x v="0"/>
    <s v="Ex-Employees"/>
    <x v="0"/>
    <x v="2"/>
    <x v="327"/>
    <x v="327"/>
    <x v="0"/>
    <x v="0"/>
    <x v="1"/>
    <s v="Yes"/>
    <s v="Y"/>
    <n v="3"/>
    <n v="-2"/>
    <n v="0"/>
    <x v="22"/>
    <x v="0"/>
    <n v="1"/>
    <n v="1"/>
    <n v="0"/>
    <n v="1162"/>
    <n v="3"/>
    <x v="0"/>
    <x v="0"/>
    <n v="4"/>
    <n v="41"/>
    <n v="3"/>
    <n v="2"/>
    <x v="2"/>
    <n v="5238"/>
    <n v="17778"/>
    <n v="4"/>
    <n v="18"/>
    <n v="3"/>
    <n v="1"/>
    <n v="80"/>
    <n v="0"/>
    <n v="12"/>
    <n v="2"/>
    <n v="1"/>
    <n v="0"/>
    <n v="0"/>
    <n v="0"/>
  </r>
  <r>
    <s v="No"/>
    <s v="Travel_Frequently"/>
    <x v="2"/>
    <s v="Current Employees"/>
    <x v="0"/>
    <x v="3"/>
    <x v="328"/>
    <x v="328"/>
    <x v="1"/>
    <x v="0"/>
    <x v="0"/>
    <s v="No"/>
    <s v="Y"/>
    <n v="6"/>
    <n v="-2"/>
    <n v="0"/>
    <x v="3"/>
    <x v="1"/>
    <m/>
    <n v="0"/>
    <n v="1"/>
    <n v="508"/>
    <n v="10"/>
    <x v="3"/>
    <x v="0"/>
    <n v="2"/>
    <n v="46"/>
    <n v="2"/>
    <n v="2"/>
    <x v="3"/>
    <n v="4682"/>
    <n v="4317"/>
    <n v="3"/>
    <n v="14"/>
    <n v="3"/>
    <n v="3"/>
    <n v="80"/>
    <n v="0"/>
    <n v="9"/>
    <n v="2"/>
    <n v="7"/>
    <n v="7"/>
    <n v="0"/>
    <n v="1"/>
  </r>
  <r>
    <s v="No"/>
    <s v="Travel_Rarely"/>
    <x v="1"/>
    <s v="Current Employees"/>
    <x v="1"/>
    <x v="0"/>
    <x v="329"/>
    <x v="329"/>
    <x v="1"/>
    <x v="7"/>
    <x v="1"/>
    <s v="No"/>
    <s v="Y"/>
    <n v="2"/>
    <n v="-2"/>
    <n v="0"/>
    <x v="40"/>
    <x v="1"/>
    <m/>
    <n v="0"/>
    <n v="1"/>
    <n v="1482"/>
    <n v="5"/>
    <x v="4"/>
    <x v="0"/>
    <n v="4"/>
    <n v="42"/>
    <n v="3"/>
    <n v="5"/>
    <x v="1"/>
    <n v="18300"/>
    <n v="16375"/>
    <n v="4"/>
    <n v="11"/>
    <n v="3"/>
    <n v="2"/>
    <n v="80"/>
    <n v="1"/>
    <n v="21"/>
    <n v="3"/>
    <n v="3"/>
    <n v="2"/>
    <n v="1"/>
    <n v="1"/>
  </r>
  <r>
    <s v="No"/>
    <s v="Travel_Frequently"/>
    <x v="0"/>
    <s v="Current Employees"/>
    <x v="1"/>
    <x v="0"/>
    <x v="330"/>
    <x v="330"/>
    <x v="0"/>
    <x v="2"/>
    <x v="2"/>
    <s v="No"/>
    <s v="Y"/>
    <n v="3"/>
    <n v="-2"/>
    <n v="0"/>
    <x v="23"/>
    <x v="1"/>
    <m/>
    <n v="0"/>
    <n v="1"/>
    <n v="559"/>
    <n v="10"/>
    <x v="2"/>
    <x v="0"/>
    <n v="3"/>
    <n v="82"/>
    <n v="2"/>
    <n v="2"/>
    <x v="1"/>
    <n v="5257"/>
    <n v="6227"/>
    <n v="1"/>
    <n v="11"/>
    <n v="3"/>
    <n v="2"/>
    <n v="80"/>
    <n v="1"/>
    <n v="9"/>
    <n v="4"/>
    <n v="9"/>
    <n v="7"/>
    <n v="0"/>
    <n v="0"/>
  </r>
  <r>
    <s v="No"/>
    <s v="Non-Travel"/>
    <x v="2"/>
    <s v="Current Employees"/>
    <x v="0"/>
    <x v="3"/>
    <x v="331"/>
    <x v="331"/>
    <x v="1"/>
    <x v="0"/>
    <x v="1"/>
    <s v="Yes"/>
    <s v="Y"/>
    <n v="0"/>
    <n v="-2"/>
    <n v="0"/>
    <x v="4"/>
    <x v="1"/>
    <m/>
    <n v="0"/>
    <n v="1"/>
    <n v="210"/>
    <n v="1"/>
    <x v="1"/>
    <x v="0"/>
    <n v="3"/>
    <n v="73"/>
    <n v="3"/>
    <n v="2"/>
    <x v="3"/>
    <n v="6349"/>
    <n v="22107"/>
    <n v="0"/>
    <n v="13"/>
    <n v="3"/>
    <n v="4"/>
    <n v="80"/>
    <n v="1"/>
    <n v="6"/>
    <n v="3"/>
    <n v="5"/>
    <n v="4"/>
    <n v="1"/>
    <n v="4"/>
  </r>
  <r>
    <s v="No"/>
    <s v="Travel_Frequently"/>
    <x v="1"/>
    <s v="Current Employees"/>
    <x v="1"/>
    <x v="0"/>
    <x v="332"/>
    <x v="332"/>
    <x v="0"/>
    <x v="1"/>
    <x v="0"/>
    <s v="No"/>
    <s v="Y"/>
    <n v="4"/>
    <n v="-2"/>
    <n v="0"/>
    <x v="33"/>
    <x v="1"/>
    <m/>
    <n v="0"/>
    <n v="1"/>
    <n v="928"/>
    <n v="20"/>
    <x v="2"/>
    <x v="0"/>
    <n v="4"/>
    <n v="31"/>
    <n v="3"/>
    <n v="2"/>
    <x v="1"/>
    <n v="4869"/>
    <n v="16885"/>
    <n v="3"/>
    <n v="12"/>
    <n v="3"/>
    <n v="4"/>
    <n v="80"/>
    <n v="0"/>
    <n v="20"/>
    <n v="2"/>
    <n v="4"/>
    <n v="3"/>
    <n v="0"/>
    <n v="3"/>
  </r>
  <r>
    <s v="No"/>
    <s v="Travel_Rarely"/>
    <x v="0"/>
    <s v="Current Employees"/>
    <x v="1"/>
    <x v="0"/>
    <x v="333"/>
    <x v="333"/>
    <x v="0"/>
    <x v="4"/>
    <x v="1"/>
    <s v="No"/>
    <s v="Y"/>
    <n v="1"/>
    <n v="-2"/>
    <n v="0"/>
    <x v="23"/>
    <x v="1"/>
    <m/>
    <n v="0"/>
    <n v="1"/>
    <n v="1001"/>
    <n v="7"/>
    <x v="3"/>
    <x v="0"/>
    <n v="3"/>
    <n v="43"/>
    <n v="3"/>
    <n v="3"/>
    <x v="1"/>
    <n v="9985"/>
    <n v="9262"/>
    <n v="8"/>
    <n v="16"/>
    <n v="3"/>
    <n v="1"/>
    <n v="80"/>
    <n v="1"/>
    <n v="10"/>
    <n v="2"/>
    <n v="1"/>
    <n v="0"/>
    <n v="0"/>
    <n v="0"/>
  </r>
  <r>
    <s v="No"/>
    <s v="Travel_Rarely"/>
    <x v="1"/>
    <s v="Current Employees"/>
    <x v="1"/>
    <x v="1"/>
    <x v="334"/>
    <x v="334"/>
    <x v="1"/>
    <x v="1"/>
    <x v="1"/>
    <s v="No"/>
    <s v="Y"/>
    <n v="3"/>
    <n v="-2"/>
    <n v="0"/>
    <x v="28"/>
    <x v="1"/>
    <m/>
    <n v="0"/>
    <n v="1"/>
    <n v="549"/>
    <n v="8"/>
    <x v="2"/>
    <x v="0"/>
    <n v="4"/>
    <n v="75"/>
    <n v="3"/>
    <n v="2"/>
    <x v="0"/>
    <n v="3697"/>
    <n v="9278"/>
    <n v="9"/>
    <n v="14"/>
    <n v="3"/>
    <n v="1"/>
    <n v="80"/>
    <n v="2"/>
    <n v="12"/>
    <n v="3"/>
    <n v="10"/>
    <n v="9"/>
    <n v="9"/>
    <n v="8"/>
  </r>
  <r>
    <s v="No"/>
    <s v="Travel_Rarely"/>
    <x v="0"/>
    <s v="Current Employees"/>
    <x v="0"/>
    <x v="2"/>
    <x v="335"/>
    <x v="335"/>
    <x v="1"/>
    <x v="0"/>
    <x v="1"/>
    <s v="Yes"/>
    <s v="Y"/>
    <n v="2"/>
    <n v="-2"/>
    <n v="0"/>
    <x v="32"/>
    <x v="1"/>
    <m/>
    <n v="0"/>
    <n v="1"/>
    <n v="1124"/>
    <n v="1"/>
    <x v="0"/>
    <x v="0"/>
    <n v="2"/>
    <n v="57"/>
    <n v="1"/>
    <n v="2"/>
    <x v="0"/>
    <n v="7457"/>
    <n v="13273"/>
    <n v="2"/>
    <n v="22"/>
    <n v="4"/>
    <n v="3"/>
    <n v="80"/>
    <n v="3"/>
    <n v="6"/>
    <n v="2"/>
    <n v="4"/>
    <n v="3"/>
    <n v="0"/>
    <n v="2"/>
  </r>
  <r>
    <s v="Yes"/>
    <s v="Travel_Rarely"/>
    <x v="2"/>
    <s v="Ex-Employees"/>
    <x v="1"/>
    <x v="1"/>
    <x v="336"/>
    <x v="336"/>
    <x v="1"/>
    <x v="2"/>
    <x v="1"/>
    <s v="Yes"/>
    <s v="Y"/>
    <n v="4"/>
    <n v="-2"/>
    <n v="0"/>
    <x v="11"/>
    <x v="0"/>
    <n v="1"/>
    <n v="1"/>
    <n v="0"/>
    <n v="318"/>
    <n v="8"/>
    <x v="2"/>
    <x v="0"/>
    <n v="2"/>
    <n v="77"/>
    <n v="1"/>
    <n v="1"/>
    <x v="2"/>
    <n v="2119"/>
    <n v="4759"/>
    <n v="1"/>
    <n v="11"/>
    <n v="3"/>
    <n v="4"/>
    <n v="80"/>
    <n v="0"/>
    <n v="7"/>
    <n v="2"/>
    <n v="7"/>
    <n v="7"/>
    <n v="0"/>
    <n v="7"/>
  </r>
  <r>
    <s v="No"/>
    <s v="Travel_Rarely"/>
    <x v="2"/>
    <s v="Current Employees"/>
    <x v="1"/>
    <x v="1"/>
    <x v="337"/>
    <x v="337"/>
    <x v="1"/>
    <x v="2"/>
    <x v="0"/>
    <s v="No"/>
    <s v="Y"/>
    <n v="2"/>
    <n v="-2"/>
    <n v="0"/>
    <x v="11"/>
    <x v="1"/>
    <m/>
    <n v="0"/>
    <n v="1"/>
    <n v="738"/>
    <n v="9"/>
    <x v="4"/>
    <x v="0"/>
    <n v="2"/>
    <n v="30"/>
    <n v="2"/>
    <n v="1"/>
    <x v="0"/>
    <n v="3983"/>
    <n v="7621"/>
    <n v="0"/>
    <n v="17"/>
    <n v="3"/>
    <n v="3"/>
    <n v="80"/>
    <n v="0"/>
    <n v="4"/>
    <n v="3"/>
    <n v="3"/>
    <n v="2"/>
    <n v="2"/>
    <n v="2"/>
  </r>
  <r>
    <s v="No"/>
    <s v="Travel_Rarely"/>
    <x v="2"/>
    <s v="Current Employees"/>
    <x v="0"/>
    <x v="3"/>
    <x v="338"/>
    <x v="338"/>
    <x v="0"/>
    <x v="0"/>
    <x v="2"/>
    <s v="No"/>
    <s v="Y"/>
    <n v="2"/>
    <n v="-2"/>
    <n v="0"/>
    <x v="7"/>
    <x v="1"/>
    <m/>
    <n v="0"/>
    <n v="1"/>
    <n v="570"/>
    <n v="5"/>
    <x v="3"/>
    <x v="0"/>
    <n v="4"/>
    <n v="30"/>
    <n v="2"/>
    <n v="2"/>
    <x v="3"/>
    <n v="6118"/>
    <n v="5431"/>
    <n v="1"/>
    <n v="13"/>
    <n v="3"/>
    <n v="3"/>
    <n v="80"/>
    <n v="3"/>
    <n v="10"/>
    <n v="3"/>
    <n v="10"/>
    <n v="9"/>
    <n v="1"/>
    <n v="2"/>
  </r>
  <r>
    <s v="No"/>
    <s v="Travel_Rarely"/>
    <x v="2"/>
    <s v="Current Employees"/>
    <x v="0"/>
    <x v="3"/>
    <x v="339"/>
    <x v="339"/>
    <x v="0"/>
    <x v="0"/>
    <x v="1"/>
    <s v="No"/>
    <s v="Y"/>
    <n v="3"/>
    <n v="-2"/>
    <n v="0"/>
    <x v="4"/>
    <x v="1"/>
    <m/>
    <n v="0"/>
    <n v="1"/>
    <n v="1130"/>
    <n v="8"/>
    <x v="2"/>
    <x v="0"/>
    <n v="2"/>
    <n v="56"/>
    <n v="3"/>
    <n v="2"/>
    <x v="3"/>
    <n v="6214"/>
    <n v="3415"/>
    <n v="1"/>
    <n v="18"/>
    <n v="3"/>
    <n v="1"/>
    <n v="80"/>
    <n v="1"/>
    <n v="8"/>
    <n v="3"/>
    <n v="8"/>
    <n v="7"/>
    <n v="0"/>
    <n v="7"/>
  </r>
  <r>
    <s v="No"/>
    <s v="Travel_Rarely"/>
    <x v="0"/>
    <s v="Current Employees"/>
    <x v="1"/>
    <x v="2"/>
    <x v="340"/>
    <x v="340"/>
    <x v="1"/>
    <x v="3"/>
    <x v="2"/>
    <s v="No"/>
    <s v="Y"/>
    <n v="2"/>
    <n v="-2"/>
    <n v="0"/>
    <x v="2"/>
    <x v="1"/>
    <m/>
    <n v="0"/>
    <n v="1"/>
    <n v="1192"/>
    <n v="5"/>
    <x v="0"/>
    <x v="0"/>
    <n v="4"/>
    <n v="61"/>
    <n v="3"/>
    <n v="2"/>
    <x v="0"/>
    <n v="6347"/>
    <n v="23177"/>
    <n v="7"/>
    <n v="16"/>
    <n v="3"/>
    <n v="3"/>
    <n v="80"/>
    <n v="2"/>
    <n v="8"/>
    <n v="2"/>
    <n v="6"/>
    <n v="2"/>
    <n v="0"/>
    <n v="4"/>
  </r>
  <r>
    <s v="No"/>
    <s v="Travel_Rarely"/>
    <x v="0"/>
    <s v="Current Employees"/>
    <x v="1"/>
    <x v="0"/>
    <x v="341"/>
    <x v="341"/>
    <x v="1"/>
    <x v="7"/>
    <x v="2"/>
    <s v="Yes"/>
    <s v="Y"/>
    <n v="3"/>
    <n v="-2"/>
    <n v="0"/>
    <x v="8"/>
    <x v="1"/>
    <m/>
    <n v="0"/>
    <n v="1"/>
    <n v="343"/>
    <n v="15"/>
    <x v="0"/>
    <x v="0"/>
    <n v="3"/>
    <n v="92"/>
    <n v="2"/>
    <n v="3"/>
    <x v="1"/>
    <n v="11510"/>
    <n v="15682"/>
    <n v="0"/>
    <n v="14"/>
    <n v="3"/>
    <n v="2"/>
    <n v="80"/>
    <n v="1"/>
    <n v="12"/>
    <n v="3"/>
    <n v="11"/>
    <n v="10"/>
    <n v="2"/>
    <n v="9"/>
  </r>
  <r>
    <s v="No"/>
    <s v="Travel_Rarely"/>
    <x v="2"/>
    <s v="Current Employees"/>
    <x v="1"/>
    <x v="2"/>
    <x v="342"/>
    <x v="342"/>
    <x v="0"/>
    <x v="3"/>
    <x v="0"/>
    <s v="Yes"/>
    <s v="Y"/>
    <n v="2"/>
    <n v="-2"/>
    <n v="0"/>
    <x v="12"/>
    <x v="1"/>
    <m/>
    <n v="0"/>
    <n v="1"/>
    <n v="1232"/>
    <n v="7"/>
    <x v="2"/>
    <x v="0"/>
    <n v="3"/>
    <n v="39"/>
    <n v="3"/>
    <n v="3"/>
    <x v="0"/>
    <n v="7143"/>
    <n v="25713"/>
    <n v="1"/>
    <n v="14"/>
    <n v="3"/>
    <n v="3"/>
    <n v="80"/>
    <n v="0"/>
    <n v="11"/>
    <n v="2"/>
    <n v="11"/>
    <n v="9"/>
    <n v="4"/>
    <n v="10"/>
  </r>
  <r>
    <s v="No"/>
    <s v="Travel_Rarely"/>
    <x v="2"/>
    <s v="Current Employees"/>
    <x v="0"/>
    <x v="3"/>
    <x v="343"/>
    <x v="343"/>
    <x v="0"/>
    <x v="0"/>
    <x v="2"/>
    <s v="Yes"/>
    <s v="Y"/>
    <n v="2"/>
    <n v="-2"/>
    <n v="0"/>
    <x v="11"/>
    <x v="1"/>
    <m/>
    <n v="0"/>
    <n v="1"/>
    <n v="144"/>
    <n v="10"/>
    <x v="1"/>
    <x v="0"/>
    <n v="4"/>
    <n v="39"/>
    <n v="2"/>
    <n v="2"/>
    <x v="3"/>
    <n v="8268"/>
    <n v="11866"/>
    <n v="1"/>
    <n v="14"/>
    <n v="3"/>
    <n v="1"/>
    <n v="80"/>
    <n v="2"/>
    <n v="7"/>
    <n v="3"/>
    <n v="7"/>
    <n v="7"/>
    <n v="1"/>
    <n v="7"/>
  </r>
  <r>
    <s v="No"/>
    <s v="Travel_Rarely"/>
    <x v="0"/>
    <s v="Current Employees"/>
    <x v="1"/>
    <x v="4"/>
    <x v="344"/>
    <x v="344"/>
    <x v="1"/>
    <x v="3"/>
    <x v="0"/>
    <s v="No"/>
    <s v="Y"/>
    <n v="5"/>
    <n v="-2"/>
    <n v="0"/>
    <x v="10"/>
    <x v="1"/>
    <m/>
    <n v="0"/>
    <n v="1"/>
    <n v="1296"/>
    <n v="5"/>
    <x v="2"/>
    <x v="0"/>
    <n v="4"/>
    <n v="62"/>
    <n v="3"/>
    <n v="3"/>
    <x v="0"/>
    <n v="8095"/>
    <n v="18264"/>
    <n v="0"/>
    <n v="13"/>
    <n v="3"/>
    <n v="4"/>
    <n v="80"/>
    <n v="0"/>
    <n v="17"/>
    <n v="3"/>
    <n v="16"/>
    <n v="6"/>
    <n v="0"/>
    <n v="13"/>
  </r>
  <r>
    <s v="No"/>
    <s v="Travel_Rarely"/>
    <x v="4"/>
    <s v="Current Employees"/>
    <x v="1"/>
    <x v="0"/>
    <x v="345"/>
    <x v="345"/>
    <x v="1"/>
    <x v="1"/>
    <x v="2"/>
    <s v="No"/>
    <s v="Y"/>
    <n v="2"/>
    <n v="-2"/>
    <n v="0"/>
    <x v="30"/>
    <x v="1"/>
    <m/>
    <n v="0"/>
    <n v="1"/>
    <n v="1309"/>
    <n v="26"/>
    <x v="1"/>
    <x v="0"/>
    <n v="3"/>
    <n v="83"/>
    <n v="3"/>
    <n v="1"/>
    <x v="1"/>
    <n v="2904"/>
    <n v="16092"/>
    <n v="1"/>
    <n v="12"/>
    <n v="3"/>
    <n v="3"/>
    <n v="80"/>
    <n v="2"/>
    <n v="4"/>
    <n v="2"/>
    <n v="4"/>
    <n v="2"/>
    <n v="0"/>
    <n v="2"/>
  </r>
  <r>
    <s v="No"/>
    <s v="Travel_Rarely"/>
    <x v="0"/>
    <s v="Current Employees"/>
    <x v="1"/>
    <x v="2"/>
    <x v="346"/>
    <x v="346"/>
    <x v="1"/>
    <x v="3"/>
    <x v="0"/>
    <s v="Yes"/>
    <s v="Y"/>
    <n v="3"/>
    <n v="-2"/>
    <n v="0"/>
    <x v="0"/>
    <x v="1"/>
    <m/>
    <n v="0"/>
    <n v="1"/>
    <n v="483"/>
    <n v="6"/>
    <x v="3"/>
    <x v="0"/>
    <n v="4"/>
    <n v="95"/>
    <n v="2"/>
    <n v="2"/>
    <x v="2"/>
    <n v="6032"/>
    <n v="10110"/>
    <n v="6"/>
    <n v="15"/>
    <n v="3"/>
    <n v="4"/>
    <n v="80"/>
    <n v="0"/>
    <n v="8"/>
    <n v="3"/>
    <n v="5"/>
    <n v="4"/>
    <n v="1"/>
    <n v="2"/>
  </r>
  <r>
    <s v="No"/>
    <s v="Travel_Frequently"/>
    <x v="1"/>
    <s v="Current Employees"/>
    <x v="0"/>
    <x v="2"/>
    <x v="347"/>
    <x v="347"/>
    <x v="1"/>
    <x v="6"/>
    <x v="0"/>
    <s v="No"/>
    <s v="Y"/>
    <n v="3"/>
    <n v="-2"/>
    <n v="0"/>
    <x v="40"/>
    <x v="1"/>
    <m/>
    <n v="0"/>
    <n v="1"/>
    <n v="1309"/>
    <n v="4"/>
    <x v="1"/>
    <x v="0"/>
    <n v="2"/>
    <n v="99"/>
    <n v="3"/>
    <n v="2"/>
    <x v="2"/>
    <n v="2976"/>
    <n v="25751"/>
    <n v="3"/>
    <n v="19"/>
    <n v="3"/>
    <n v="1"/>
    <n v="80"/>
    <n v="0"/>
    <n v="5"/>
    <n v="3"/>
    <n v="0"/>
    <n v="0"/>
    <n v="0"/>
    <n v="0"/>
  </r>
  <r>
    <s v="No"/>
    <s v="Travel_Rarely"/>
    <x v="0"/>
    <s v="Current Employees"/>
    <x v="1"/>
    <x v="0"/>
    <x v="348"/>
    <x v="348"/>
    <x v="0"/>
    <x v="7"/>
    <x v="0"/>
    <s v="No"/>
    <s v="Y"/>
    <n v="2"/>
    <n v="-2"/>
    <n v="0"/>
    <x v="19"/>
    <x v="1"/>
    <m/>
    <n v="0"/>
    <n v="1"/>
    <n v="810"/>
    <n v="23"/>
    <x v="4"/>
    <x v="0"/>
    <n v="1"/>
    <n v="44"/>
    <n v="3"/>
    <n v="4"/>
    <x v="1"/>
    <n v="15992"/>
    <n v="15901"/>
    <n v="2"/>
    <n v="14"/>
    <n v="3"/>
    <n v="2"/>
    <n v="80"/>
    <n v="0"/>
    <n v="16"/>
    <n v="3"/>
    <n v="1"/>
    <n v="0"/>
    <n v="0"/>
    <n v="0"/>
  </r>
  <r>
    <s v="No"/>
    <s v="Non-Travel"/>
    <x v="2"/>
    <s v="Current Employees"/>
    <x v="0"/>
    <x v="0"/>
    <x v="349"/>
    <x v="349"/>
    <x v="1"/>
    <x v="0"/>
    <x v="1"/>
    <s v="No"/>
    <s v="Y"/>
    <n v="3"/>
    <n v="-2"/>
    <n v="0"/>
    <x v="11"/>
    <x v="1"/>
    <m/>
    <n v="0"/>
    <n v="1"/>
    <n v="746"/>
    <n v="2"/>
    <x v="3"/>
    <x v="0"/>
    <n v="4"/>
    <n v="61"/>
    <n v="3"/>
    <n v="2"/>
    <x v="1"/>
    <n v="4649"/>
    <n v="16928"/>
    <n v="1"/>
    <n v="14"/>
    <n v="3"/>
    <n v="1"/>
    <n v="80"/>
    <n v="1"/>
    <n v="4"/>
    <n v="2"/>
    <n v="4"/>
    <n v="3"/>
    <n v="0"/>
    <n v="2"/>
  </r>
  <r>
    <s v="No"/>
    <s v="Travel_Rarely"/>
    <x v="0"/>
    <s v="Current Employees"/>
    <x v="2"/>
    <x v="4"/>
    <x v="350"/>
    <x v="350"/>
    <x v="1"/>
    <x v="8"/>
    <x v="2"/>
    <s v="Yes"/>
    <s v="Y"/>
    <n v="5"/>
    <n v="-2"/>
    <n v="0"/>
    <x v="19"/>
    <x v="1"/>
    <m/>
    <n v="0"/>
    <n v="1"/>
    <n v="544"/>
    <n v="2"/>
    <x v="1"/>
    <x v="0"/>
    <n v="4"/>
    <n v="52"/>
    <n v="3"/>
    <n v="1"/>
    <x v="0"/>
    <n v="2696"/>
    <n v="24017"/>
    <n v="0"/>
    <n v="11"/>
    <n v="3"/>
    <n v="3"/>
    <n v="80"/>
    <n v="1"/>
    <n v="4"/>
    <n v="3"/>
    <n v="3"/>
    <n v="2"/>
    <n v="1"/>
    <n v="0"/>
  </r>
  <r>
    <s v="No"/>
    <s v="Travel_Rarely"/>
    <x v="2"/>
    <s v="Current Employees"/>
    <x v="1"/>
    <x v="2"/>
    <x v="351"/>
    <x v="351"/>
    <x v="0"/>
    <x v="2"/>
    <x v="1"/>
    <s v="No"/>
    <s v="Y"/>
    <n v="4"/>
    <n v="-2"/>
    <n v="0"/>
    <x v="5"/>
    <x v="1"/>
    <m/>
    <n v="0"/>
    <n v="1"/>
    <n v="1062"/>
    <n v="2"/>
    <x v="3"/>
    <x v="0"/>
    <n v="3"/>
    <n v="75"/>
    <n v="3"/>
    <n v="1"/>
    <x v="2"/>
    <n v="2370"/>
    <n v="3956"/>
    <n v="1"/>
    <n v="13"/>
    <n v="3"/>
    <n v="3"/>
    <n v="80"/>
    <n v="1"/>
    <n v="8"/>
    <n v="3"/>
    <n v="8"/>
    <n v="0"/>
    <n v="0"/>
    <n v="7"/>
  </r>
  <r>
    <s v="No"/>
    <s v="Travel_Rarely"/>
    <x v="1"/>
    <s v="Current Employees"/>
    <x v="0"/>
    <x v="2"/>
    <x v="352"/>
    <x v="352"/>
    <x v="0"/>
    <x v="5"/>
    <x v="1"/>
    <s v="No"/>
    <s v="Y"/>
    <n v="3"/>
    <n v="-2"/>
    <n v="0"/>
    <x v="26"/>
    <x v="1"/>
    <m/>
    <n v="0"/>
    <n v="1"/>
    <n v="530"/>
    <n v="29"/>
    <x v="1"/>
    <x v="0"/>
    <n v="1"/>
    <n v="91"/>
    <n v="3"/>
    <n v="3"/>
    <x v="2"/>
    <n v="12504"/>
    <n v="23978"/>
    <n v="3"/>
    <n v="21"/>
    <n v="4"/>
    <n v="2"/>
    <n v="80"/>
    <n v="1"/>
    <n v="15"/>
    <n v="1"/>
    <n v="0"/>
    <n v="0"/>
    <n v="0"/>
    <n v="0"/>
  </r>
  <r>
    <s v="No"/>
    <s v="Travel_Rarely"/>
    <x v="0"/>
    <s v="Current Employees"/>
    <x v="1"/>
    <x v="2"/>
    <x v="353"/>
    <x v="353"/>
    <x v="1"/>
    <x v="1"/>
    <x v="2"/>
    <s v="Yes"/>
    <s v="Y"/>
    <n v="2"/>
    <n v="-2"/>
    <n v="0"/>
    <x v="2"/>
    <x v="1"/>
    <m/>
    <n v="0"/>
    <n v="1"/>
    <n v="1319"/>
    <n v="6"/>
    <x v="3"/>
    <x v="0"/>
    <n v="3"/>
    <n v="51"/>
    <n v="4"/>
    <n v="2"/>
    <x v="2"/>
    <n v="5974"/>
    <n v="17001"/>
    <n v="4"/>
    <n v="13"/>
    <n v="3"/>
    <n v="1"/>
    <n v="80"/>
    <n v="2"/>
    <n v="13"/>
    <n v="3"/>
    <n v="7"/>
    <n v="7"/>
    <n v="6"/>
    <n v="7"/>
  </r>
  <r>
    <s v="No"/>
    <s v="Non-Travel"/>
    <x v="2"/>
    <s v="Current Employees"/>
    <x v="0"/>
    <x v="4"/>
    <x v="354"/>
    <x v="354"/>
    <x v="0"/>
    <x v="0"/>
    <x v="1"/>
    <s v="Yes"/>
    <s v="Y"/>
    <n v="2"/>
    <n v="-2"/>
    <n v="0"/>
    <x v="7"/>
    <x v="1"/>
    <m/>
    <n v="0"/>
    <n v="1"/>
    <n v="641"/>
    <n v="25"/>
    <x v="0"/>
    <x v="0"/>
    <n v="4"/>
    <n v="85"/>
    <n v="3"/>
    <n v="2"/>
    <x v="0"/>
    <n v="4736"/>
    <n v="6069"/>
    <n v="7"/>
    <n v="12"/>
    <n v="3"/>
    <n v="2"/>
    <n v="80"/>
    <n v="1"/>
    <n v="4"/>
    <n v="4"/>
    <n v="2"/>
    <n v="2"/>
    <n v="2"/>
    <n v="2"/>
  </r>
  <r>
    <s v="No"/>
    <s v="Travel_Rarely"/>
    <x v="2"/>
    <s v="Current Employees"/>
    <x v="0"/>
    <x v="0"/>
    <x v="355"/>
    <x v="355"/>
    <x v="1"/>
    <x v="0"/>
    <x v="1"/>
    <s v="No"/>
    <s v="Y"/>
    <n v="3"/>
    <n v="-2"/>
    <n v="0"/>
    <x v="25"/>
    <x v="1"/>
    <m/>
    <n v="0"/>
    <n v="1"/>
    <n v="933"/>
    <n v="1"/>
    <x v="3"/>
    <x v="0"/>
    <n v="3"/>
    <n v="57"/>
    <n v="3"/>
    <n v="2"/>
    <x v="1"/>
    <n v="5296"/>
    <n v="20156"/>
    <n v="1"/>
    <n v="17"/>
    <n v="3"/>
    <n v="2"/>
    <n v="80"/>
    <n v="1"/>
    <n v="8"/>
    <n v="3"/>
    <n v="8"/>
    <n v="7"/>
    <n v="7"/>
    <n v="7"/>
  </r>
  <r>
    <s v="No"/>
    <s v="Travel_Rarely"/>
    <x v="0"/>
    <s v="Current Employees"/>
    <x v="1"/>
    <x v="1"/>
    <x v="356"/>
    <x v="356"/>
    <x v="1"/>
    <x v="4"/>
    <x v="0"/>
    <s v="No"/>
    <s v="Y"/>
    <n v="6"/>
    <n v="-2"/>
    <n v="0"/>
    <x v="19"/>
    <x v="1"/>
    <m/>
    <n v="0"/>
    <n v="1"/>
    <n v="1332"/>
    <n v="2"/>
    <x v="2"/>
    <x v="0"/>
    <n v="1"/>
    <n v="98"/>
    <n v="2"/>
    <n v="2"/>
    <x v="0"/>
    <n v="6781"/>
    <n v="17078"/>
    <n v="3"/>
    <n v="23"/>
    <n v="4"/>
    <n v="2"/>
    <n v="80"/>
    <n v="0"/>
    <n v="14"/>
    <n v="3"/>
    <n v="1"/>
    <n v="0"/>
    <n v="0"/>
    <n v="0"/>
  </r>
  <r>
    <s v="Yes"/>
    <s v="Travel_Frequently"/>
    <x v="4"/>
    <s v="Ex-Employees"/>
    <x v="0"/>
    <x v="4"/>
    <x v="357"/>
    <x v="357"/>
    <x v="0"/>
    <x v="6"/>
    <x v="0"/>
    <s v="Yes"/>
    <s v="Y"/>
    <n v="3"/>
    <n v="-2"/>
    <n v="0"/>
    <x v="18"/>
    <x v="0"/>
    <n v="1"/>
    <n v="1"/>
    <n v="0"/>
    <n v="756"/>
    <n v="1"/>
    <x v="1"/>
    <x v="0"/>
    <n v="4"/>
    <n v="99"/>
    <n v="2"/>
    <n v="1"/>
    <x v="0"/>
    <n v="2174"/>
    <n v="9150"/>
    <n v="1"/>
    <n v="11"/>
    <n v="3"/>
    <n v="3"/>
    <n v="80"/>
    <n v="0"/>
    <n v="3"/>
    <n v="3"/>
    <n v="3"/>
    <n v="2"/>
    <n v="1"/>
    <n v="2"/>
  </r>
  <r>
    <s v="No"/>
    <s v="Non-Travel"/>
    <x v="0"/>
    <s v="Current Employees"/>
    <x v="0"/>
    <x v="2"/>
    <x v="358"/>
    <x v="358"/>
    <x v="0"/>
    <x v="0"/>
    <x v="0"/>
    <s v="No"/>
    <s v="Y"/>
    <n v="6"/>
    <n v="-2"/>
    <n v="0"/>
    <x v="9"/>
    <x v="1"/>
    <m/>
    <n v="0"/>
    <n v="1"/>
    <n v="845"/>
    <n v="1"/>
    <x v="4"/>
    <x v="0"/>
    <n v="4"/>
    <n v="45"/>
    <n v="3"/>
    <n v="2"/>
    <x v="0"/>
    <n v="6653"/>
    <n v="15276"/>
    <n v="4"/>
    <n v="15"/>
    <n v="3"/>
    <n v="2"/>
    <n v="80"/>
    <n v="0"/>
    <n v="7"/>
    <n v="3"/>
    <n v="1"/>
    <n v="0"/>
    <n v="0"/>
    <n v="0"/>
  </r>
  <r>
    <s v="No"/>
    <s v="Travel_Frequently"/>
    <x v="0"/>
    <s v="Current Employees"/>
    <x v="0"/>
    <x v="2"/>
    <x v="359"/>
    <x v="359"/>
    <x v="1"/>
    <x v="0"/>
    <x v="1"/>
    <s v="No"/>
    <s v="Y"/>
    <n v="2"/>
    <n v="-2"/>
    <n v="0"/>
    <x v="9"/>
    <x v="1"/>
    <m/>
    <n v="0"/>
    <n v="1"/>
    <n v="541"/>
    <n v="3"/>
    <x v="2"/>
    <x v="0"/>
    <n v="1"/>
    <n v="48"/>
    <n v="2"/>
    <n v="3"/>
    <x v="0"/>
    <n v="9699"/>
    <n v="7246"/>
    <n v="4"/>
    <n v="11"/>
    <n v="3"/>
    <n v="1"/>
    <n v="80"/>
    <n v="1"/>
    <n v="16"/>
    <n v="3"/>
    <n v="13"/>
    <n v="9"/>
    <n v="1"/>
    <n v="12"/>
  </r>
  <r>
    <s v="No"/>
    <s v="Travel_Rarely"/>
    <x v="3"/>
    <s v="Current Employees"/>
    <x v="1"/>
    <x v="2"/>
    <x v="360"/>
    <x v="360"/>
    <x v="1"/>
    <x v="4"/>
    <x v="1"/>
    <s v="No"/>
    <s v="Y"/>
    <n v="2"/>
    <n v="-2"/>
    <n v="0"/>
    <x v="38"/>
    <x v="1"/>
    <m/>
    <n v="0"/>
    <n v="1"/>
    <n v="593"/>
    <n v="1"/>
    <x v="2"/>
    <x v="0"/>
    <n v="4"/>
    <n v="88"/>
    <n v="3"/>
    <n v="2"/>
    <x v="2"/>
    <n v="6755"/>
    <n v="2967"/>
    <n v="2"/>
    <n v="11"/>
    <n v="3"/>
    <n v="3"/>
    <n v="80"/>
    <n v="0"/>
    <n v="15"/>
    <n v="3"/>
    <n v="3"/>
    <n v="2"/>
    <n v="1"/>
    <n v="2"/>
  </r>
  <r>
    <s v="No"/>
    <s v="Travel_Rarely"/>
    <x v="0"/>
    <s v="Current Employees"/>
    <x v="1"/>
    <x v="0"/>
    <x v="361"/>
    <x v="361"/>
    <x v="0"/>
    <x v="2"/>
    <x v="1"/>
    <s v="Yes"/>
    <s v="Y"/>
    <n v="3"/>
    <n v="-2"/>
    <n v="0"/>
    <x v="32"/>
    <x v="1"/>
    <m/>
    <n v="0"/>
    <n v="1"/>
    <n v="1171"/>
    <n v="10"/>
    <x v="2"/>
    <x v="0"/>
    <n v="4"/>
    <n v="46"/>
    <n v="4"/>
    <n v="1"/>
    <x v="1"/>
    <n v="2213"/>
    <n v="22495"/>
    <n v="3"/>
    <n v="13"/>
    <n v="3"/>
    <n v="3"/>
    <n v="80"/>
    <n v="1"/>
    <n v="10"/>
    <n v="3"/>
    <n v="7"/>
    <n v="7"/>
    <n v="1"/>
    <n v="7"/>
  </r>
  <r>
    <s v="No"/>
    <s v="Non-Travel"/>
    <x v="4"/>
    <s v="Current Employees"/>
    <x v="0"/>
    <x v="2"/>
    <x v="362"/>
    <x v="362"/>
    <x v="1"/>
    <x v="6"/>
    <x v="0"/>
    <s v="No"/>
    <s v="Y"/>
    <n v="3"/>
    <n v="-2"/>
    <n v="0"/>
    <x v="18"/>
    <x v="1"/>
    <m/>
    <n v="0"/>
    <n v="1"/>
    <n v="895"/>
    <n v="9"/>
    <x v="0"/>
    <x v="0"/>
    <n v="1"/>
    <n v="39"/>
    <n v="3"/>
    <n v="1"/>
    <x v="0"/>
    <n v="2610"/>
    <n v="2851"/>
    <n v="1"/>
    <n v="24"/>
    <n v="4"/>
    <n v="3"/>
    <n v="80"/>
    <n v="0"/>
    <n v="3"/>
    <n v="2"/>
    <n v="3"/>
    <n v="2"/>
    <n v="2"/>
    <n v="2"/>
  </r>
  <r>
    <s v="Yes"/>
    <s v="Travel_Rarely"/>
    <x v="2"/>
    <s v="Ex-Employees"/>
    <x v="0"/>
    <x v="3"/>
    <x v="363"/>
    <x v="363"/>
    <x v="0"/>
    <x v="6"/>
    <x v="0"/>
    <s v="Yes"/>
    <s v="Y"/>
    <n v="2"/>
    <n v="-2"/>
    <n v="0"/>
    <x v="3"/>
    <x v="0"/>
    <n v="1"/>
    <n v="1"/>
    <n v="0"/>
    <n v="350"/>
    <n v="5"/>
    <x v="3"/>
    <x v="0"/>
    <n v="4"/>
    <n v="34"/>
    <n v="3"/>
    <n v="1"/>
    <x v="3"/>
    <n v="2851"/>
    <n v="9150"/>
    <n v="1"/>
    <n v="13"/>
    <n v="3"/>
    <n v="2"/>
    <n v="80"/>
    <n v="0"/>
    <n v="1"/>
    <n v="3"/>
    <n v="1"/>
    <n v="0"/>
    <n v="0"/>
    <n v="0"/>
  </r>
  <r>
    <s v="No"/>
    <s v="Travel_Rarely"/>
    <x v="0"/>
    <s v="Current Employees"/>
    <x v="1"/>
    <x v="2"/>
    <x v="364"/>
    <x v="364"/>
    <x v="0"/>
    <x v="2"/>
    <x v="1"/>
    <s v="No"/>
    <s v="Y"/>
    <n v="3"/>
    <n v="-2"/>
    <n v="0"/>
    <x v="2"/>
    <x v="1"/>
    <m/>
    <n v="0"/>
    <n v="1"/>
    <n v="921"/>
    <n v="10"/>
    <x v="3"/>
    <x v="0"/>
    <n v="3"/>
    <n v="98"/>
    <n v="3"/>
    <n v="1"/>
    <x v="2"/>
    <n v="3452"/>
    <n v="17663"/>
    <n v="6"/>
    <n v="20"/>
    <n v="4"/>
    <n v="2"/>
    <n v="80"/>
    <n v="1"/>
    <n v="17"/>
    <n v="3"/>
    <n v="5"/>
    <n v="4"/>
    <n v="0"/>
    <n v="3"/>
  </r>
  <r>
    <s v="No"/>
    <s v="Non-Travel"/>
    <x v="1"/>
    <s v="Current Employees"/>
    <x v="1"/>
    <x v="2"/>
    <x v="365"/>
    <x v="365"/>
    <x v="0"/>
    <x v="3"/>
    <x v="1"/>
    <s v="No"/>
    <s v="Y"/>
    <n v="2"/>
    <n v="-2"/>
    <n v="0"/>
    <x v="21"/>
    <x v="1"/>
    <m/>
    <n v="0"/>
    <n v="1"/>
    <n v="1144"/>
    <n v="7"/>
    <x v="2"/>
    <x v="0"/>
    <n v="3"/>
    <n v="30"/>
    <n v="3"/>
    <n v="2"/>
    <x v="2"/>
    <n v="5258"/>
    <n v="16044"/>
    <n v="2"/>
    <n v="14"/>
    <n v="3"/>
    <n v="3"/>
    <n v="80"/>
    <n v="0"/>
    <n v="7"/>
    <n v="4"/>
    <n v="1"/>
    <n v="0"/>
    <n v="0"/>
    <n v="0"/>
  </r>
  <r>
    <s v="Yes"/>
    <s v="Travel_Frequently"/>
    <x v="0"/>
    <s v="Ex-Employees"/>
    <x v="0"/>
    <x v="3"/>
    <x v="366"/>
    <x v="366"/>
    <x v="1"/>
    <x v="0"/>
    <x v="0"/>
    <s v="No"/>
    <s v="Y"/>
    <n v="5"/>
    <n v="-2"/>
    <n v="0"/>
    <x v="0"/>
    <x v="0"/>
    <n v="1"/>
    <n v="1"/>
    <n v="0"/>
    <n v="143"/>
    <n v="4"/>
    <x v="3"/>
    <x v="0"/>
    <n v="1"/>
    <n v="56"/>
    <n v="3"/>
    <n v="2"/>
    <x v="3"/>
    <n v="9355"/>
    <n v="9558"/>
    <n v="1"/>
    <n v="18"/>
    <n v="3"/>
    <n v="3"/>
    <n v="80"/>
    <n v="0"/>
    <n v="8"/>
    <n v="3"/>
    <n v="8"/>
    <n v="7"/>
    <n v="7"/>
    <n v="7"/>
  </r>
  <r>
    <s v="No"/>
    <s v="Travel_Rarely"/>
    <x v="1"/>
    <s v="Current Employees"/>
    <x v="1"/>
    <x v="4"/>
    <x v="367"/>
    <x v="367"/>
    <x v="1"/>
    <x v="4"/>
    <x v="0"/>
    <s v="No"/>
    <s v="Y"/>
    <n v="2"/>
    <n v="-2"/>
    <n v="0"/>
    <x v="24"/>
    <x v="1"/>
    <m/>
    <n v="0"/>
    <n v="1"/>
    <n v="1046"/>
    <n v="10"/>
    <x v="3"/>
    <x v="0"/>
    <n v="4"/>
    <n v="100"/>
    <n v="2"/>
    <n v="3"/>
    <x v="0"/>
    <n v="10496"/>
    <n v="2755"/>
    <n v="6"/>
    <n v="15"/>
    <n v="3"/>
    <n v="4"/>
    <n v="80"/>
    <n v="0"/>
    <n v="20"/>
    <n v="3"/>
    <n v="4"/>
    <n v="3"/>
    <n v="1"/>
    <n v="3"/>
  </r>
  <r>
    <s v="Yes"/>
    <s v="Travel_Rarely"/>
    <x v="0"/>
    <s v="Ex-Employees"/>
    <x v="0"/>
    <x v="3"/>
    <x v="368"/>
    <x v="368"/>
    <x v="1"/>
    <x v="0"/>
    <x v="1"/>
    <s v="Yes"/>
    <s v="Y"/>
    <n v="6"/>
    <n v="-2"/>
    <n v="0"/>
    <x v="32"/>
    <x v="0"/>
    <n v="1"/>
    <n v="1"/>
    <n v="0"/>
    <n v="575"/>
    <n v="22"/>
    <x v="0"/>
    <x v="0"/>
    <n v="3"/>
    <n v="68"/>
    <n v="2"/>
    <n v="2"/>
    <x v="3"/>
    <n v="6380"/>
    <n v="6110"/>
    <n v="2"/>
    <n v="12"/>
    <n v="3"/>
    <n v="1"/>
    <n v="80"/>
    <n v="2"/>
    <n v="8"/>
    <n v="3"/>
    <n v="6"/>
    <n v="4"/>
    <n v="1"/>
    <n v="0"/>
  </r>
  <r>
    <s v="No"/>
    <s v="Travel_Rarely"/>
    <x v="2"/>
    <s v="Current Employees"/>
    <x v="1"/>
    <x v="0"/>
    <x v="369"/>
    <x v="369"/>
    <x v="1"/>
    <x v="1"/>
    <x v="0"/>
    <s v="Yes"/>
    <s v="Y"/>
    <n v="5"/>
    <n v="-2"/>
    <n v="0"/>
    <x v="12"/>
    <x v="1"/>
    <m/>
    <n v="0"/>
    <n v="1"/>
    <n v="408"/>
    <n v="9"/>
    <x v="2"/>
    <x v="0"/>
    <n v="3"/>
    <n v="42"/>
    <n v="2"/>
    <n v="1"/>
    <x v="1"/>
    <n v="2657"/>
    <n v="7551"/>
    <n v="0"/>
    <n v="16"/>
    <n v="3"/>
    <n v="4"/>
    <n v="80"/>
    <n v="0"/>
    <n v="3"/>
    <n v="3"/>
    <n v="2"/>
    <n v="2"/>
    <n v="2"/>
    <n v="2"/>
  </r>
  <r>
    <s v="Yes"/>
    <s v="Travel_Rarely"/>
    <x v="4"/>
    <s v="Ex-Employees"/>
    <x v="0"/>
    <x v="0"/>
    <x v="370"/>
    <x v="370"/>
    <x v="0"/>
    <x v="6"/>
    <x v="0"/>
    <s v="No"/>
    <s v="Y"/>
    <n v="0"/>
    <n v="-2"/>
    <n v="0"/>
    <x v="18"/>
    <x v="0"/>
    <n v="1"/>
    <n v="1"/>
    <n v="0"/>
    <n v="156"/>
    <n v="12"/>
    <x v="3"/>
    <x v="0"/>
    <n v="3"/>
    <n v="90"/>
    <n v="4"/>
    <n v="1"/>
    <x v="1"/>
    <n v="2716"/>
    <n v="25422"/>
    <n v="1"/>
    <n v="15"/>
    <n v="3"/>
    <n v="4"/>
    <n v="80"/>
    <n v="0"/>
    <n v="1"/>
    <n v="3"/>
    <n v="1"/>
    <n v="0"/>
    <n v="0"/>
    <n v="0"/>
  </r>
  <r>
    <s v="No"/>
    <s v="Travel_Rarely"/>
    <x v="2"/>
    <s v="Current Employees"/>
    <x v="1"/>
    <x v="0"/>
    <x v="371"/>
    <x v="371"/>
    <x v="1"/>
    <x v="1"/>
    <x v="0"/>
    <s v="No"/>
    <s v="Y"/>
    <n v="4"/>
    <n v="-2"/>
    <n v="0"/>
    <x v="11"/>
    <x v="1"/>
    <m/>
    <n v="0"/>
    <n v="1"/>
    <n v="1283"/>
    <n v="23"/>
    <x v="3"/>
    <x v="0"/>
    <n v="4"/>
    <n v="54"/>
    <n v="3"/>
    <n v="1"/>
    <x v="1"/>
    <n v="2201"/>
    <n v="18168"/>
    <n v="9"/>
    <n v="16"/>
    <n v="3"/>
    <n v="4"/>
    <n v="80"/>
    <n v="0"/>
    <n v="6"/>
    <n v="3"/>
    <n v="3"/>
    <n v="2"/>
    <n v="1"/>
    <n v="2"/>
  </r>
  <r>
    <s v="No"/>
    <s v="Travel_Rarely"/>
    <x v="0"/>
    <s v="Current Employees"/>
    <x v="1"/>
    <x v="0"/>
    <x v="372"/>
    <x v="372"/>
    <x v="1"/>
    <x v="4"/>
    <x v="0"/>
    <s v="No"/>
    <s v="Y"/>
    <n v="5"/>
    <n v="-2"/>
    <n v="0"/>
    <x v="10"/>
    <x v="1"/>
    <m/>
    <n v="0"/>
    <n v="1"/>
    <n v="755"/>
    <n v="9"/>
    <x v="2"/>
    <x v="0"/>
    <n v="3"/>
    <n v="97"/>
    <n v="2"/>
    <n v="2"/>
    <x v="1"/>
    <n v="6540"/>
    <n v="19394"/>
    <n v="9"/>
    <n v="19"/>
    <n v="3"/>
    <n v="3"/>
    <n v="80"/>
    <n v="0"/>
    <n v="10"/>
    <n v="3"/>
    <n v="1"/>
    <n v="1"/>
    <n v="0"/>
    <n v="0"/>
  </r>
  <r>
    <s v="No"/>
    <s v="Travel_Rarely"/>
    <x v="2"/>
    <s v="Current Employees"/>
    <x v="1"/>
    <x v="2"/>
    <x v="373"/>
    <x v="373"/>
    <x v="1"/>
    <x v="2"/>
    <x v="2"/>
    <s v="No"/>
    <s v="Y"/>
    <n v="2"/>
    <n v="-2"/>
    <n v="0"/>
    <x v="4"/>
    <x v="1"/>
    <m/>
    <n v="0"/>
    <n v="1"/>
    <n v="1469"/>
    <n v="1"/>
    <x v="0"/>
    <x v="0"/>
    <n v="4"/>
    <n v="82"/>
    <n v="3"/>
    <n v="1"/>
    <x v="2"/>
    <n v="3816"/>
    <n v="17881"/>
    <n v="1"/>
    <n v="11"/>
    <n v="3"/>
    <n v="2"/>
    <n v="80"/>
    <n v="1"/>
    <n v="5"/>
    <n v="3"/>
    <n v="5"/>
    <n v="2"/>
    <n v="0"/>
    <n v="4"/>
  </r>
  <r>
    <s v="No"/>
    <s v="Travel_Rarely"/>
    <x v="2"/>
    <s v="Current Employees"/>
    <x v="0"/>
    <x v="0"/>
    <x v="374"/>
    <x v="374"/>
    <x v="1"/>
    <x v="0"/>
    <x v="0"/>
    <s v="No"/>
    <s v="Y"/>
    <n v="1"/>
    <n v="-2"/>
    <n v="0"/>
    <x v="14"/>
    <x v="1"/>
    <m/>
    <n v="0"/>
    <n v="1"/>
    <n v="304"/>
    <n v="9"/>
    <x v="2"/>
    <x v="0"/>
    <n v="2"/>
    <n v="92"/>
    <n v="3"/>
    <n v="2"/>
    <x v="1"/>
    <n v="5253"/>
    <n v="20750"/>
    <n v="1"/>
    <n v="16"/>
    <n v="3"/>
    <n v="4"/>
    <n v="80"/>
    <n v="0"/>
    <n v="7"/>
    <n v="3"/>
    <n v="7"/>
    <n v="5"/>
    <n v="0"/>
    <n v="7"/>
  </r>
  <r>
    <s v="No"/>
    <s v="Travel_Rarely"/>
    <x v="1"/>
    <s v="Current Employees"/>
    <x v="1"/>
    <x v="1"/>
    <x v="375"/>
    <x v="375"/>
    <x v="1"/>
    <x v="4"/>
    <x v="0"/>
    <s v="No"/>
    <s v="Y"/>
    <n v="2"/>
    <n v="-2"/>
    <n v="0"/>
    <x v="1"/>
    <x v="1"/>
    <m/>
    <n v="0"/>
    <n v="1"/>
    <n v="1261"/>
    <n v="7"/>
    <x v="3"/>
    <x v="0"/>
    <n v="2"/>
    <n v="31"/>
    <n v="2"/>
    <n v="3"/>
    <x v="2"/>
    <n v="10965"/>
    <n v="12066"/>
    <n v="8"/>
    <n v="24"/>
    <n v="4"/>
    <n v="3"/>
    <n v="80"/>
    <n v="0"/>
    <n v="26"/>
    <n v="3"/>
    <n v="5"/>
    <n v="2"/>
    <n v="0"/>
    <n v="0"/>
  </r>
  <r>
    <s v="No"/>
    <s v="Travel_Rarely"/>
    <x v="1"/>
    <s v="Current Employees"/>
    <x v="0"/>
    <x v="0"/>
    <x v="376"/>
    <x v="376"/>
    <x v="0"/>
    <x v="0"/>
    <x v="1"/>
    <s v="No"/>
    <s v="Y"/>
    <n v="2"/>
    <n v="-2"/>
    <n v="0"/>
    <x v="31"/>
    <x v="1"/>
    <m/>
    <n v="0"/>
    <n v="1"/>
    <n v="1178"/>
    <n v="14"/>
    <x v="0"/>
    <x v="0"/>
    <n v="3"/>
    <n v="87"/>
    <n v="3"/>
    <n v="2"/>
    <x v="1"/>
    <n v="4936"/>
    <n v="14862"/>
    <n v="4"/>
    <n v="11"/>
    <n v="3"/>
    <n v="3"/>
    <n v="80"/>
    <n v="1"/>
    <n v="18"/>
    <n v="2"/>
    <n v="7"/>
    <n v="7"/>
    <n v="0"/>
    <n v="7"/>
  </r>
  <r>
    <s v="No"/>
    <s v="Travel_Rarely"/>
    <x v="0"/>
    <s v="Current Employees"/>
    <x v="1"/>
    <x v="0"/>
    <x v="377"/>
    <x v="377"/>
    <x v="0"/>
    <x v="1"/>
    <x v="1"/>
    <s v="No"/>
    <s v="Y"/>
    <n v="3"/>
    <n v="-2"/>
    <n v="0"/>
    <x v="9"/>
    <x v="1"/>
    <m/>
    <n v="0"/>
    <n v="1"/>
    <n v="329"/>
    <n v="2"/>
    <x v="3"/>
    <x v="0"/>
    <n v="4"/>
    <n v="96"/>
    <n v="3"/>
    <n v="1"/>
    <x v="1"/>
    <n v="2543"/>
    <n v="11868"/>
    <n v="4"/>
    <n v="13"/>
    <n v="3"/>
    <n v="2"/>
    <n v="80"/>
    <n v="1"/>
    <n v="6"/>
    <n v="3"/>
    <n v="2"/>
    <n v="2"/>
    <n v="2"/>
    <n v="2"/>
  </r>
  <r>
    <s v="Yes"/>
    <s v="Non-Travel"/>
    <x v="2"/>
    <s v="Ex-Employees"/>
    <x v="0"/>
    <x v="3"/>
    <x v="378"/>
    <x v="378"/>
    <x v="1"/>
    <x v="0"/>
    <x v="0"/>
    <s v="Yes"/>
    <s v="Y"/>
    <n v="3"/>
    <n v="-2"/>
    <n v="0"/>
    <x v="13"/>
    <x v="0"/>
    <n v="1"/>
    <n v="1"/>
    <n v="0"/>
    <n v="1362"/>
    <n v="19"/>
    <x v="3"/>
    <x v="0"/>
    <n v="1"/>
    <n v="67"/>
    <n v="4"/>
    <n v="2"/>
    <x v="3"/>
    <n v="5304"/>
    <n v="4652"/>
    <n v="8"/>
    <n v="13"/>
    <n v="3"/>
    <n v="2"/>
    <n v="80"/>
    <n v="0"/>
    <n v="9"/>
    <n v="2"/>
    <n v="5"/>
    <n v="2"/>
    <n v="0"/>
    <n v="4"/>
  </r>
  <r>
    <s v="No"/>
    <s v="Travel_Rarely"/>
    <x v="3"/>
    <s v="Current Employees"/>
    <x v="1"/>
    <x v="0"/>
    <x v="379"/>
    <x v="379"/>
    <x v="0"/>
    <x v="5"/>
    <x v="0"/>
    <s v="Yes"/>
    <s v="Y"/>
    <n v="2"/>
    <n v="-2"/>
    <n v="0"/>
    <x v="27"/>
    <x v="1"/>
    <m/>
    <n v="0"/>
    <n v="1"/>
    <n v="1311"/>
    <n v="2"/>
    <x v="3"/>
    <x v="0"/>
    <n v="3"/>
    <n v="97"/>
    <n v="3"/>
    <n v="4"/>
    <x v="1"/>
    <n v="16659"/>
    <n v="23258"/>
    <n v="2"/>
    <n v="13"/>
    <n v="3"/>
    <n v="3"/>
    <n v="80"/>
    <n v="0"/>
    <n v="30"/>
    <n v="3"/>
    <n v="5"/>
    <n v="4"/>
    <n v="1"/>
    <n v="2"/>
  </r>
  <r>
    <s v="No"/>
    <s v="Travel_Rarely"/>
    <x v="4"/>
    <s v="Current Employees"/>
    <x v="0"/>
    <x v="3"/>
    <x v="380"/>
    <x v="380"/>
    <x v="0"/>
    <x v="0"/>
    <x v="2"/>
    <s v="Yes"/>
    <s v="Y"/>
    <n v="2"/>
    <n v="-2"/>
    <n v="0"/>
    <x v="17"/>
    <x v="1"/>
    <m/>
    <n v="0"/>
    <n v="1"/>
    <n v="1371"/>
    <n v="10"/>
    <x v="2"/>
    <x v="0"/>
    <n v="4"/>
    <n v="77"/>
    <n v="3"/>
    <n v="2"/>
    <x v="3"/>
    <n v="4260"/>
    <n v="5915"/>
    <n v="1"/>
    <n v="12"/>
    <n v="3"/>
    <n v="4"/>
    <n v="80"/>
    <n v="1"/>
    <n v="5"/>
    <n v="4"/>
    <n v="5"/>
    <n v="2"/>
    <n v="0"/>
    <n v="3"/>
  </r>
  <r>
    <s v="No"/>
    <s v="Travel_Rarely"/>
    <x v="2"/>
    <s v="Current Employees"/>
    <x v="0"/>
    <x v="4"/>
    <x v="381"/>
    <x v="381"/>
    <x v="1"/>
    <x v="6"/>
    <x v="1"/>
    <s v="No"/>
    <s v="Y"/>
    <n v="3"/>
    <n v="-2"/>
    <n v="0"/>
    <x v="7"/>
    <x v="1"/>
    <m/>
    <n v="0"/>
    <n v="1"/>
    <n v="202"/>
    <n v="2"/>
    <x v="1"/>
    <x v="0"/>
    <n v="4"/>
    <n v="72"/>
    <n v="3"/>
    <n v="1"/>
    <x v="0"/>
    <n v="2476"/>
    <n v="17434"/>
    <n v="1"/>
    <n v="18"/>
    <n v="3"/>
    <n v="1"/>
    <n v="80"/>
    <n v="1"/>
    <n v="1"/>
    <n v="3"/>
    <n v="1"/>
    <n v="0"/>
    <n v="0"/>
    <n v="0"/>
  </r>
  <r>
    <s v="Yes"/>
    <s v="Travel_Frequently"/>
    <x v="2"/>
    <s v="Ex-Employees"/>
    <x v="1"/>
    <x v="4"/>
    <x v="382"/>
    <x v="382"/>
    <x v="1"/>
    <x v="1"/>
    <x v="0"/>
    <s v="No"/>
    <s v="Y"/>
    <n v="2"/>
    <n v="-2"/>
    <n v="0"/>
    <x v="25"/>
    <x v="0"/>
    <n v="1"/>
    <n v="1"/>
    <n v="0"/>
    <n v="575"/>
    <n v="3"/>
    <x v="1"/>
    <x v="0"/>
    <n v="4"/>
    <n v="73"/>
    <n v="3"/>
    <n v="1"/>
    <x v="0"/>
    <n v="3102"/>
    <n v="6582"/>
    <n v="0"/>
    <n v="22"/>
    <n v="4"/>
    <n v="3"/>
    <n v="80"/>
    <n v="0"/>
    <n v="7"/>
    <n v="3"/>
    <n v="6"/>
    <n v="4"/>
    <n v="0"/>
    <n v="4"/>
  </r>
  <r>
    <s v="No"/>
    <s v="Travel_Rarely"/>
    <x v="4"/>
    <s v="Current Employees"/>
    <x v="1"/>
    <x v="2"/>
    <x v="383"/>
    <x v="383"/>
    <x v="0"/>
    <x v="1"/>
    <x v="1"/>
    <s v="No"/>
    <s v="Y"/>
    <n v="1"/>
    <n v="-2"/>
    <n v="0"/>
    <x v="15"/>
    <x v="1"/>
    <m/>
    <n v="0"/>
    <n v="1"/>
    <n v="253"/>
    <n v="11"/>
    <x v="3"/>
    <x v="0"/>
    <n v="1"/>
    <n v="43"/>
    <n v="3"/>
    <n v="1"/>
    <x v="2"/>
    <n v="2244"/>
    <n v="24440"/>
    <n v="1"/>
    <n v="13"/>
    <n v="3"/>
    <n v="4"/>
    <n v="80"/>
    <n v="1"/>
    <n v="2"/>
    <n v="3"/>
    <n v="2"/>
    <n v="1"/>
    <n v="1"/>
    <n v="2"/>
  </r>
  <r>
    <s v="No"/>
    <s v="Travel_Rarely"/>
    <x v="0"/>
    <s v="Current Employees"/>
    <x v="0"/>
    <x v="2"/>
    <x v="384"/>
    <x v="384"/>
    <x v="1"/>
    <x v="0"/>
    <x v="1"/>
    <s v="No"/>
    <s v="Y"/>
    <n v="2"/>
    <n v="-2"/>
    <n v="0"/>
    <x v="9"/>
    <x v="1"/>
    <m/>
    <n v="0"/>
    <n v="1"/>
    <n v="164"/>
    <n v="2"/>
    <x v="0"/>
    <x v="0"/>
    <n v="2"/>
    <n v="61"/>
    <n v="2"/>
    <n v="3"/>
    <x v="2"/>
    <n v="7596"/>
    <n v="3809"/>
    <n v="1"/>
    <n v="13"/>
    <n v="3"/>
    <n v="2"/>
    <n v="80"/>
    <n v="2"/>
    <n v="10"/>
    <n v="3"/>
    <n v="10"/>
    <n v="9"/>
    <n v="9"/>
    <n v="0"/>
  </r>
  <r>
    <s v="Yes"/>
    <s v="Travel_Frequently"/>
    <x v="2"/>
    <s v="Ex-Employees"/>
    <x v="1"/>
    <x v="4"/>
    <x v="385"/>
    <x v="385"/>
    <x v="1"/>
    <x v="1"/>
    <x v="0"/>
    <s v="Yes"/>
    <s v="Y"/>
    <n v="4"/>
    <n v="-2"/>
    <n v="0"/>
    <x v="7"/>
    <x v="0"/>
    <n v="1"/>
    <n v="1"/>
    <n v="0"/>
    <n v="464"/>
    <n v="4"/>
    <x v="3"/>
    <x v="0"/>
    <n v="4"/>
    <n v="40"/>
    <n v="3"/>
    <n v="1"/>
    <x v="0"/>
    <n v="2285"/>
    <n v="3427"/>
    <n v="9"/>
    <n v="23"/>
    <n v="4"/>
    <n v="3"/>
    <n v="80"/>
    <n v="0"/>
    <n v="3"/>
    <n v="3"/>
    <n v="1"/>
    <n v="0"/>
    <n v="0"/>
    <n v="0"/>
  </r>
  <r>
    <s v="No"/>
    <s v="Travel_Rarely"/>
    <x v="0"/>
    <s v="Current Employees"/>
    <x v="1"/>
    <x v="0"/>
    <x v="386"/>
    <x v="386"/>
    <x v="0"/>
    <x v="2"/>
    <x v="2"/>
    <s v="No"/>
    <s v="Y"/>
    <n v="2"/>
    <n v="-2"/>
    <n v="0"/>
    <x v="2"/>
    <x v="1"/>
    <m/>
    <n v="0"/>
    <n v="1"/>
    <n v="1107"/>
    <n v="14"/>
    <x v="3"/>
    <x v="0"/>
    <n v="4"/>
    <n v="95"/>
    <n v="3"/>
    <n v="1"/>
    <x v="1"/>
    <n v="3034"/>
    <n v="26914"/>
    <n v="1"/>
    <n v="12"/>
    <n v="3"/>
    <n v="3"/>
    <n v="80"/>
    <n v="1"/>
    <n v="18"/>
    <n v="2"/>
    <n v="18"/>
    <n v="7"/>
    <n v="12"/>
    <n v="17"/>
  </r>
  <r>
    <s v="No"/>
    <s v="Travel_Rarely"/>
    <x v="0"/>
    <s v="Current Employees"/>
    <x v="0"/>
    <x v="3"/>
    <x v="387"/>
    <x v="387"/>
    <x v="0"/>
    <x v="0"/>
    <x v="2"/>
    <s v="No"/>
    <s v="Y"/>
    <n v="5"/>
    <n v="-2"/>
    <n v="0"/>
    <x v="32"/>
    <x v="1"/>
    <m/>
    <n v="0"/>
    <n v="1"/>
    <n v="759"/>
    <n v="2"/>
    <x v="0"/>
    <x v="0"/>
    <n v="4"/>
    <n v="46"/>
    <n v="3"/>
    <n v="2"/>
    <x v="3"/>
    <n v="5715"/>
    <n v="22553"/>
    <n v="7"/>
    <n v="12"/>
    <n v="3"/>
    <n v="3"/>
    <n v="80"/>
    <n v="2"/>
    <n v="8"/>
    <n v="3"/>
    <n v="5"/>
    <n v="4"/>
    <n v="1"/>
    <n v="3"/>
  </r>
  <r>
    <s v="No"/>
    <s v="Travel_Rarely"/>
    <x v="0"/>
    <s v="Current Employees"/>
    <x v="1"/>
    <x v="0"/>
    <x v="388"/>
    <x v="388"/>
    <x v="0"/>
    <x v="2"/>
    <x v="2"/>
    <s v="No"/>
    <s v="Y"/>
    <n v="5"/>
    <n v="-2"/>
    <n v="0"/>
    <x v="19"/>
    <x v="1"/>
    <m/>
    <n v="0"/>
    <n v="1"/>
    <n v="201"/>
    <n v="1"/>
    <x v="2"/>
    <x v="0"/>
    <n v="2"/>
    <n v="95"/>
    <n v="3"/>
    <n v="1"/>
    <x v="1"/>
    <n v="2576"/>
    <n v="20490"/>
    <n v="3"/>
    <n v="16"/>
    <n v="3"/>
    <n v="2"/>
    <n v="80"/>
    <n v="1"/>
    <n v="8"/>
    <n v="3"/>
    <n v="5"/>
    <n v="2"/>
    <n v="1"/>
    <n v="2"/>
  </r>
  <r>
    <s v="No"/>
    <s v="Travel_Rarely"/>
    <x v="0"/>
    <s v="Current Employees"/>
    <x v="1"/>
    <x v="0"/>
    <x v="389"/>
    <x v="389"/>
    <x v="1"/>
    <x v="3"/>
    <x v="0"/>
    <s v="Yes"/>
    <s v="Y"/>
    <n v="2"/>
    <n v="-2"/>
    <n v="0"/>
    <x v="2"/>
    <x v="1"/>
    <m/>
    <n v="0"/>
    <n v="1"/>
    <n v="1305"/>
    <n v="10"/>
    <x v="2"/>
    <x v="0"/>
    <n v="3"/>
    <n v="49"/>
    <n v="3"/>
    <n v="2"/>
    <x v="1"/>
    <n v="4197"/>
    <n v="21123"/>
    <n v="2"/>
    <n v="12"/>
    <n v="3"/>
    <n v="4"/>
    <n v="80"/>
    <n v="0"/>
    <n v="18"/>
    <n v="2"/>
    <n v="1"/>
    <n v="0"/>
    <n v="0"/>
    <n v="1"/>
  </r>
  <r>
    <s v="No"/>
    <s v="Travel_Rarely"/>
    <x v="0"/>
    <s v="Current Employees"/>
    <x v="1"/>
    <x v="0"/>
    <x v="390"/>
    <x v="390"/>
    <x v="1"/>
    <x v="7"/>
    <x v="2"/>
    <s v="No"/>
    <s v="Y"/>
    <n v="3"/>
    <n v="-2"/>
    <n v="0"/>
    <x v="23"/>
    <x v="1"/>
    <m/>
    <n v="0"/>
    <n v="1"/>
    <n v="982"/>
    <n v="12"/>
    <x v="3"/>
    <x v="0"/>
    <n v="1"/>
    <n v="59"/>
    <n v="2"/>
    <n v="4"/>
    <x v="1"/>
    <n v="14336"/>
    <n v="4345"/>
    <n v="1"/>
    <n v="11"/>
    <n v="3"/>
    <n v="3"/>
    <n v="80"/>
    <n v="1"/>
    <n v="25"/>
    <n v="3"/>
    <n v="25"/>
    <n v="10"/>
    <n v="3"/>
    <n v="9"/>
  </r>
  <r>
    <s v="No"/>
    <s v="Travel_Rarely"/>
    <x v="0"/>
    <s v="Current Employees"/>
    <x v="1"/>
    <x v="2"/>
    <x v="391"/>
    <x v="391"/>
    <x v="0"/>
    <x v="2"/>
    <x v="1"/>
    <s v="No"/>
    <s v="Y"/>
    <n v="3"/>
    <n v="-2"/>
    <n v="0"/>
    <x v="32"/>
    <x v="1"/>
    <m/>
    <n v="0"/>
    <n v="1"/>
    <n v="555"/>
    <n v="2"/>
    <x v="3"/>
    <x v="0"/>
    <n v="2"/>
    <n v="78"/>
    <n v="2"/>
    <n v="2"/>
    <x v="2"/>
    <n v="3448"/>
    <n v="13436"/>
    <n v="6"/>
    <n v="22"/>
    <n v="4"/>
    <n v="2"/>
    <n v="80"/>
    <n v="1"/>
    <n v="20"/>
    <n v="3"/>
    <n v="1"/>
    <n v="0"/>
    <n v="0"/>
    <n v="0"/>
  </r>
  <r>
    <s v="No"/>
    <s v="Travel_Rarely"/>
    <x v="1"/>
    <s v="Current Employees"/>
    <x v="1"/>
    <x v="2"/>
    <x v="392"/>
    <x v="392"/>
    <x v="1"/>
    <x v="7"/>
    <x v="1"/>
    <s v="No"/>
    <s v="Y"/>
    <n v="4"/>
    <n v="-2"/>
    <n v="0"/>
    <x v="33"/>
    <x v="1"/>
    <m/>
    <n v="0"/>
    <n v="1"/>
    <n v="821"/>
    <n v="5"/>
    <x v="0"/>
    <x v="0"/>
    <n v="1"/>
    <n v="86"/>
    <n v="3"/>
    <n v="5"/>
    <x v="2"/>
    <n v="19406"/>
    <n v="8509"/>
    <n v="4"/>
    <n v="11"/>
    <n v="3"/>
    <n v="3"/>
    <n v="80"/>
    <n v="1"/>
    <n v="24"/>
    <n v="2"/>
    <n v="4"/>
    <n v="2"/>
    <n v="1"/>
    <n v="2"/>
  </r>
  <r>
    <s v="No"/>
    <s v="Non-Travel"/>
    <x v="2"/>
    <s v="Current Employees"/>
    <x v="0"/>
    <x v="3"/>
    <x v="393"/>
    <x v="393"/>
    <x v="0"/>
    <x v="0"/>
    <x v="1"/>
    <s v="No"/>
    <s v="Y"/>
    <n v="3"/>
    <n v="-2"/>
    <n v="0"/>
    <x v="13"/>
    <x v="1"/>
    <m/>
    <n v="0"/>
    <n v="1"/>
    <n v="1381"/>
    <n v="4"/>
    <x v="2"/>
    <x v="0"/>
    <n v="3"/>
    <n v="72"/>
    <n v="3"/>
    <n v="2"/>
    <x v="3"/>
    <n v="6538"/>
    <n v="12740"/>
    <n v="9"/>
    <n v="15"/>
    <n v="3"/>
    <n v="1"/>
    <n v="80"/>
    <n v="1"/>
    <n v="6"/>
    <n v="3"/>
    <n v="3"/>
    <n v="2"/>
    <n v="1"/>
    <n v="2"/>
  </r>
  <r>
    <s v="No"/>
    <s v="Travel_Rarely"/>
    <x v="2"/>
    <s v="Current Employees"/>
    <x v="1"/>
    <x v="2"/>
    <x v="394"/>
    <x v="394"/>
    <x v="0"/>
    <x v="3"/>
    <x v="1"/>
    <s v="No"/>
    <s v="Y"/>
    <n v="5"/>
    <n v="-2"/>
    <n v="0"/>
    <x v="12"/>
    <x v="1"/>
    <m/>
    <n v="0"/>
    <n v="1"/>
    <n v="480"/>
    <n v="7"/>
    <x v="0"/>
    <x v="0"/>
    <n v="2"/>
    <n v="31"/>
    <n v="3"/>
    <n v="2"/>
    <x v="2"/>
    <n v="4306"/>
    <n v="4156"/>
    <n v="1"/>
    <n v="12"/>
    <n v="3"/>
    <n v="2"/>
    <n v="80"/>
    <n v="1"/>
    <n v="13"/>
    <n v="1"/>
    <n v="13"/>
    <n v="10"/>
    <n v="3"/>
    <n v="12"/>
  </r>
  <r>
    <s v="No"/>
    <s v="Travel_Frequently"/>
    <x v="0"/>
    <s v="Current Employees"/>
    <x v="1"/>
    <x v="2"/>
    <x v="395"/>
    <x v="395"/>
    <x v="1"/>
    <x v="2"/>
    <x v="1"/>
    <s v="No"/>
    <s v="Y"/>
    <n v="1"/>
    <n v="-2"/>
    <n v="0"/>
    <x v="23"/>
    <x v="1"/>
    <m/>
    <n v="0"/>
    <n v="1"/>
    <n v="313"/>
    <n v="21"/>
    <x v="3"/>
    <x v="0"/>
    <n v="4"/>
    <n v="61"/>
    <n v="3"/>
    <n v="1"/>
    <x v="0"/>
    <n v="2258"/>
    <n v="15238"/>
    <n v="7"/>
    <n v="20"/>
    <n v="4"/>
    <n v="1"/>
    <n v="80"/>
    <n v="1"/>
    <n v="8"/>
    <n v="3"/>
    <n v="3"/>
    <n v="2"/>
    <n v="1"/>
    <n v="2"/>
  </r>
  <r>
    <s v="No"/>
    <s v="Travel_Rarely"/>
    <x v="0"/>
    <s v="Current Employees"/>
    <x v="1"/>
    <x v="1"/>
    <x v="396"/>
    <x v="396"/>
    <x v="0"/>
    <x v="4"/>
    <x v="2"/>
    <s v="Yes"/>
    <s v="Y"/>
    <n v="3"/>
    <n v="-2"/>
    <n v="0"/>
    <x v="23"/>
    <x v="1"/>
    <m/>
    <n v="0"/>
    <n v="1"/>
    <n v="1473"/>
    <n v="8"/>
    <x v="2"/>
    <x v="0"/>
    <n v="3"/>
    <n v="74"/>
    <n v="3"/>
    <n v="2"/>
    <x v="2"/>
    <n v="4522"/>
    <n v="2227"/>
    <n v="4"/>
    <n v="14"/>
    <n v="3"/>
    <n v="4"/>
    <n v="80"/>
    <n v="0"/>
    <n v="8"/>
    <n v="3"/>
    <n v="5"/>
    <n v="2"/>
    <n v="0"/>
    <n v="2"/>
  </r>
  <r>
    <s v="No"/>
    <s v="Travel_Rarely"/>
    <x v="2"/>
    <s v="Current Employees"/>
    <x v="0"/>
    <x v="0"/>
    <x v="397"/>
    <x v="397"/>
    <x v="0"/>
    <x v="0"/>
    <x v="0"/>
    <s v="Yes"/>
    <s v="Y"/>
    <n v="3"/>
    <n v="-2"/>
    <n v="0"/>
    <x v="36"/>
    <x v="1"/>
    <m/>
    <n v="0"/>
    <n v="1"/>
    <n v="891"/>
    <n v="4"/>
    <x v="0"/>
    <x v="0"/>
    <n v="2"/>
    <n v="99"/>
    <n v="2"/>
    <n v="2"/>
    <x v="1"/>
    <n v="4487"/>
    <n v="12090"/>
    <n v="1"/>
    <n v="11"/>
    <n v="3"/>
    <n v="2"/>
    <n v="80"/>
    <n v="0"/>
    <n v="5"/>
    <n v="3"/>
    <n v="5"/>
    <n v="4"/>
    <n v="1"/>
    <n v="3"/>
  </r>
  <r>
    <s v="No"/>
    <s v="Non-Travel"/>
    <x v="0"/>
    <s v="Current Employees"/>
    <x v="1"/>
    <x v="2"/>
    <x v="398"/>
    <x v="398"/>
    <x v="0"/>
    <x v="1"/>
    <x v="1"/>
    <s v="Yes"/>
    <s v="Y"/>
    <n v="2"/>
    <n v="-2"/>
    <n v="0"/>
    <x v="2"/>
    <x v="1"/>
    <m/>
    <n v="0"/>
    <n v="1"/>
    <n v="1063"/>
    <n v="25"/>
    <x v="4"/>
    <x v="0"/>
    <n v="2"/>
    <n v="72"/>
    <n v="3"/>
    <n v="2"/>
    <x v="2"/>
    <n v="4449"/>
    <n v="23866"/>
    <n v="3"/>
    <n v="15"/>
    <n v="3"/>
    <n v="1"/>
    <n v="80"/>
    <n v="2"/>
    <n v="15"/>
    <n v="3"/>
    <n v="13"/>
    <n v="11"/>
    <n v="10"/>
    <n v="7"/>
  </r>
  <r>
    <s v="No"/>
    <s v="Travel_Rarely"/>
    <x v="2"/>
    <s v="Current Employees"/>
    <x v="1"/>
    <x v="0"/>
    <x v="399"/>
    <x v="399"/>
    <x v="1"/>
    <x v="2"/>
    <x v="1"/>
    <s v="No"/>
    <s v="Y"/>
    <n v="3"/>
    <n v="-2"/>
    <n v="0"/>
    <x v="12"/>
    <x v="1"/>
    <m/>
    <n v="0"/>
    <n v="1"/>
    <n v="329"/>
    <n v="1"/>
    <x v="0"/>
    <x v="0"/>
    <n v="4"/>
    <n v="98"/>
    <n v="2"/>
    <n v="1"/>
    <x v="1"/>
    <n v="2218"/>
    <n v="16193"/>
    <n v="1"/>
    <n v="12"/>
    <n v="3"/>
    <n v="3"/>
    <n v="80"/>
    <n v="1"/>
    <n v="4"/>
    <n v="3"/>
    <n v="4"/>
    <n v="2"/>
    <n v="3"/>
    <n v="2"/>
  </r>
  <r>
    <s v="No"/>
    <s v="Travel_Frequently"/>
    <x v="0"/>
    <s v="Current Employees"/>
    <x v="1"/>
    <x v="0"/>
    <x v="400"/>
    <x v="400"/>
    <x v="1"/>
    <x v="5"/>
    <x v="2"/>
    <s v="Yes"/>
    <s v="Y"/>
    <n v="3"/>
    <n v="-2"/>
    <n v="0"/>
    <x v="22"/>
    <x v="1"/>
    <m/>
    <n v="0"/>
    <n v="1"/>
    <n v="1218"/>
    <n v="1"/>
    <x v="1"/>
    <x v="0"/>
    <n v="2"/>
    <n v="52"/>
    <n v="3"/>
    <n v="5"/>
    <x v="1"/>
    <n v="19197"/>
    <n v="8213"/>
    <n v="1"/>
    <n v="14"/>
    <n v="3"/>
    <n v="3"/>
    <n v="80"/>
    <n v="1"/>
    <n v="21"/>
    <n v="3"/>
    <n v="21"/>
    <n v="8"/>
    <n v="1"/>
    <n v="6"/>
  </r>
  <r>
    <s v="No"/>
    <s v="Travel_Frequently"/>
    <x v="3"/>
    <s v="Current Employees"/>
    <x v="0"/>
    <x v="0"/>
    <x v="401"/>
    <x v="401"/>
    <x v="0"/>
    <x v="0"/>
    <x v="1"/>
    <s v="No"/>
    <s v="Y"/>
    <n v="0"/>
    <n v="-2"/>
    <n v="0"/>
    <x v="29"/>
    <x v="1"/>
    <m/>
    <n v="0"/>
    <n v="1"/>
    <n v="906"/>
    <n v="6"/>
    <x v="3"/>
    <x v="0"/>
    <n v="3"/>
    <n v="86"/>
    <n v="4"/>
    <n v="4"/>
    <x v="1"/>
    <n v="13212"/>
    <n v="18256"/>
    <n v="9"/>
    <n v="11"/>
    <n v="3"/>
    <n v="4"/>
    <n v="80"/>
    <n v="3"/>
    <n v="36"/>
    <n v="2"/>
    <n v="7"/>
    <n v="7"/>
    <n v="7"/>
    <n v="7"/>
  </r>
  <r>
    <s v="No"/>
    <s v="Travel_Rarely"/>
    <x v="2"/>
    <s v="Current Employees"/>
    <x v="0"/>
    <x v="4"/>
    <x v="402"/>
    <x v="402"/>
    <x v="0"/>
    <x v="0"/>
    <x v="0"/>
    <s v="No"/>
    <s v="Y"/>
    <n v="6"/>
    <n v="-2"/>
    <n v="0"/>
    <x v="7"/>
    <x v="1"/>
    <m/>
    <n v="0"/>
    <n v="1"/>
    <n v="1082"/>
    <n v="12"/>
    <x v="3"/>
    <x v="0"/>
    <n v="4"/>
    <n v="83"/>
    <n v="3"/>
    <n v="2"/>
    <x v="0"/>
    <n v="6577"/>
    <n v="19558"/>
    <n v="0"/>
    <n v="11"/>
    <n v="3"/>
    <n v="2"/>
    <n v="80"/>
    <n v="0"/>
    <n v="6"/>
    <n v="3"/>
    <n v="5"/>
    <n v="4"/>
    <n v="4"/>
    <n v="4"/>
  </r>
  <r>
    <s v="No"/>
    <s v="Travel_Rarely"/>
    <x v="0"/>
    <s v="Current Employees"/>
    <x v="0"/>
    <x v="3"/>
    <x v="403"/>
    <x v="403"/>
    <x v="1"/>
    <x v="0"/>
    <x v="1"/>
    <s v="No"/>
    <s v="Y"/>
    <n v="2"/>
    <n v="-2"/>
    <n v="0"/>
    <x v="0"/>
    <x v="1"/>
    <m/>
    <n v="0"/>
    <n v="1"/>
    <n v="645"/>
    <n v="1"/>
    <x v="3"/>
    <x v="0"/>
    <n v="2"/>
    <n v="49"/>
    <n v="4"/>
    <n v="3"/>
    <x v="3"/>
    <n v="8392"/>
    <n v="19566"/>
    <n v="1"/>
    <n v="16"/>
    <n v="3"/>
    <n v="3"/>
    <n v="80"/>
    <n v="1"/>
    <n v="10"/>
    <n v="3"/>
    <n v="10"/>
    <n v="7"/>
    <n v="0"/>
    <n v="7"/>
  </r>
  <r>
    <s v="No"/>
    <s v="Travel_Rarely"/>
    <x v="2"/>
    <s v="Current Employees"/>
    <x v="1"/>
    <x v="2"/>
    <x v="404"/>
    <x v="404"/>
    <x v="1"/>
    <x v="2"/>
    <x v="2"/>
    <s v="No"/>
    <s v="Y"/>
    <n v="2"/>
    <n v="-2"/>
    <n v="0"/>
    <x v="14"/>
    <x v="1"/>
    <m/>
    <n v="0"/>
    <n v="1"/>
    <n v="1300"/>
    <n v="17"/>
    <x v="0"/>
    <x v="0"/>
    <n v="3"/>
    <n v="79"/>
    <n v="3"/>
    <n v="2"/>
    <x v="2"/>
    <n v="4558"/>
    <n v="13535"/>
    <n v="1"/>
    <n v="12"/>
    <n v="3"/>
    <n v="4"/>
    <n v="80"/>
    <n v="1"/>
    <n v="10"/>
    <n v="3"/>
    <n v="10"/>
    <n v="0"/>
    <n v="1"/>
    <n v="8"/>
  </r>
  <r>
    <s v="Yes"/>
    <s v="Travel_Rarely"/>
    <x v="2"/>
    <s v="Ex-Employees"/>
    <x v="1"/>
    <x v="2"/>
    <x v="405"/>
    <x v="405"/>
    <x v="1"/>
    <x v="2"/>
    <x v="1"/>
    <s v="No"/>
    <s v="Y"/>
    <n v="5"/>
    <n v="-2"/>
    <n v="0"/>
    <x v="36"/>
    <x v="0"/>
    <n v="1"/>
    <n v="1"/>
    <n v="0"/>
    <n v="688"/>
    <n v="3"/>
    <x v="3"/>
    <x v="0"/>
    <n v="1"/>
    <n v="91"/>
    <n v="3"/>
    <n v="1"/>
    <x v="2"/>
    <n v="4031"/>
    <n v="9396"/>
    <n v="5"/>
    <n v="13"/>
    <n v="3"/>
    <n v="3"/>
    <n v="80"/>
    <n v="1"/>
    <n v="6"/>
    <n v="3"/>
    <n v="2"/>
    <n v="2"/>
    <n v="0"/>
    <n v="2"/>
  </r>
  <r>
    <s v="No"/>
    <s v="Travel_Rarely"/>
    <x v="1"/>
    <s v="Current Employees"/>
    <x v="1"/>
    <x v="2"/>
    <x v="406"/>
    <x v="406"/>
    <x v="1"/>
    <x v="3"/>
    <x v="1"/>
    <s v="Yes"/>
    <s v="Y"/>
    <n v="4"/>
    <n v="-2"/>
    <n v="0"/>
    <x v="39"/>
    <x v="1"/>
    <m/>
    <n v="0"/>
    <n v="1"/>
    <n v="319"/>
    <n v="3"/>
    <x v="3"/>
    <x v="0"/>
    <n v="4"/>
    <n v="39"/>
    <n v="2"/>
    <n v="3"/>
    <x v="2"/>
    <n v="7969"/>
    <n v="19609"/>
    <n v="2"/>
    <n v="14"/>
    <n v="3"/>
    <n v="3"/>
    <n v="80"/>
    <n v="0"/>
    <n v="28"/>
    <n v="3"/>
    <n v="5"/>
    <n v="4"/>
    <n v="0"/>
    <n v="4"/>
  </r>
  <r>
    <s v="No"/>
    <s v="Travel_Rarely"/>
    <x v="1"/>
    <s v="Current Employees"/>
    <x v="1"/>
    <x v="0"/>
    <x v="407"/>
    <x v="407"/>
    <x v="1"/>
    <x v="1"/>
    <x v="1"/>
    <s v="No"/>
    <s v="Y"/>
    <n v="3"/>
    <n v="-2"/>
    <n v="0"/>
    <x v="28"/>
    <x v="1"/>
    <m/>
    <n v="0"/>
    <n v="1"/>
    <n v="192"/>
    <n v="10"/>
    <x v="0"/>
    <x v="0"/>
    <n v="1"/>
    <n v="69"/>
    <n v="3"/>
    <n v="1"/>
    <x v="1"/>
    <n v="2654"/>
    <n v="9655"/>
    <n v="3"/>
    <n v="21"/>
    <n v="4"/>
    <n v="4"/>
    <n v="80"/>
    <n v="2"/>
    <n v="8"/>
    <n v="2"/>
    <n v="2"/>
    <n v="2"/>
    <n v="0"/>
    <n v="2"/>
  </r>
  <r>
    <s v="No"/>
    <s v="Travel_Rarely"/>
    <x v="1"/>
    <s v="Current Employees"/>
    <x v="1"/>
    <x v="0"/>
    <x v="408"/>
    <x v="408"/>
    <x v="0"/>
    <x v="5"/>
    <x v="1"/>
    <s v="No"/>
    <s v="Y"/>
    <n v="2"/>
    <n v="-2"/>
    <n v="0"/>
    <x v="39"/>
    <x v="1"/>
    <m/>
    <n v="0"/>
    <n v="1"/>
    <n v="1490"/>
    <n v="4"/>
    <x v="0"/>
    <x v="0"/>
    <n v="4"/>
    <n v="30"/>
    <n v="3"/>
    <n v="4"/>
    <x v="1"/>
    <n v="16555"/>
    <n v="10310"/>
    <n v="2"/>
    <n v="13"/>
    <n v="3"/>
    <n v="4"/>
    <n v="80"/>
    <n v="0"/>
    <n v="31"/>
    <n v="1"/>
    <n v="5"/>
    <n v="2"/>
    <n v="1"/>
    <n v="4"/>
  </r>
  <r>
    <s v="No"/>
    <s v="Travel_Frequently"/>
    <x v="0"/>
    <s v="Current Employees"/>
    <x v="1"/>
    <x v="0"/>
    <x v="409"/>
    <x v="409"/>
    <x v="0"/>
    <x v="1"/>
    <x v="2"/>
    <s v="No"/>
    <s v="Y"/>
    <n v="3"/>
    <n v="-2"/>
    <n v="0"/>
    <x v="19"/>
    <x v="1"/>
    <m/>
    <n v="0"/>
    <n v="1"/>
    <n v="532"/>
    <n v="29"/>
    <x v="0"/>
    <x v="0"/>
    <n v="1"/>
    <n v="92"/>
    <n v="3"/>
    <n v="2"/>
    <x v="1"/>
    <n v="4556"/>
    <n v="12932"/>
    <n v="2"/>
    <n v="11"/>
    <n v="3"/>
    <n v="2"/>
    <n v="80"/>
    <n v="1"/>
    <n v="19"/>
    <n v="3"/>
    <n v="5"/>
    <n v="4"/>
    <n v="0"/>
    <n v="2"/>
  </r>
  <r>
    <s v="No"/>
    <s v="Travel_Rarely"/>
    <x v="2"/>
    <s v="Current Employees"/>
    <x v="1"/>
    <x v="0"/>
    <x v="410"/>
    <x v="410"/>
    <x v="0"/>
    <x v="3"/>
    <x v="0"/>
    <s v="No"/>
    <s v="Y"/>
    <n v="2"/>
    <n v="-2"/>
    <n v="0"/>
    <x v="7"/>
    <x v="1"/>
    <m/>
    <n v="0"/>
    <n v="1"/>
    <n v="317"/>
    <n v="2"/>
    <x v="3"/>
    <x v="0"/>
    <n v="3"/>
    <n v="43"/>
    <n v="1"/>
    <n v="2"/>
    <x v="1"/>
    <n v="6091"/>
    <n v="24793"/>
    <n v="2"/>
    <n v="20"/>
    <n v="4"/>
    <n v="3"/>
    <n v="80"/>
    <n v="0"/>
    <n v="11"/>
    <n v="3"/>
    <n v="5"/>
    <n v="4"/>
    <n v="0"/>
    <n v="2"/>
  </r>
  <r>
    <s v="No"/>
    <s v="Travel_Rarely"/>
    <x v="3"/>
    <s v="Current Employees"/>
    <x v="1"/>
    <x v="0"/>
    <x v="411"/>
    <x v="411"/>
    <x v="0"/>
    <x v="5"/>
    <x v="1"/>
    <s v="No"/>
    <s v="Y"/>
    <n v="5"/>
    <n v="-2"/>
    <n v="0"/>
    <x v="42"/>
    <x v="1"/>
    <m/>
    <n v="0"/>
    <n v="1"/>
    <n v="422"/>
    <n v="7"/>
    <x v="3"/>
    <x v="0"/>
    <n v="1"/>
    <n v="41"/>
    <n v="3"/>
    <n v="5"/>
    <x v="1"/>
    <n v="19566"/>
    <n v="3854"/>
    <n v="5"/>
    <n v="11"/>
    <n v="3"/>
    <n v="4"/>
    <n v="80"/>
    <n v="0"/>
    <n v="33"/>
    <n v="1"/>
    <n v="29"/>
    <n v="8"/>
    <n v="11"/>
    <n v="10"/>
  </r>
  <r>
    <s v="No"/>
    <s v="Travel_Rarely"/>
    <x v="1"/>
    <s v="Current Employees"/>
    <x v="1"/>
    <x v="2"/>
    <x v="412"/>
    <x v="412"/>
    <x v="0"/>
    <x v="3"/>
    <x v="2"/>
    <s v="No"/>
    <s v="Y"/>
    <n v="5"/>
    <n v="-2"/>
    <n v="0"/>
    <x v="21"/>
    <x v="1"/>
    <m/>
    <n v="0"/>
    <n v="1"/>
    <n v="1485"/>
    <n v="18"/>
    <x v="3"/>
    <x v="0"/>
    <n v="3"/>
    <n v="87"/>
    <n v="3"/>
    <n v="2"/>
    <x v="2"/>
    <n v="4810"/>
    <n v="26314"/>
    <n v="2"/>
    <n v="14"/>
    <n v="3"/>
    <n v="3"/>
    <n v="80"/>
    <n v="1"/>
    <n v="19"/>
    <n v="2"/>
    <n v="10"/>
    <n v="7"/>
    <n v="0"/>
    <n v="8"/>
  </r>
  <r>
    <s v="No"/>
    <s v="Travel_Frequently"/>
    <x v="0"/>
    <s v="Current Employees"/>
    <x v="1"/>
    <x v="4"/>
    <x v="413"/>
    <x v="413"/>
    <x v="0"/>
    <x v="4"/>
    <x v="1"/>
    <s v="No"/>
    <s v="Y"/>
    <n v="4"/>
    <n v="-2"/>
    <n v="0"/>
    <x v="19"/>
    <x v="1"/>
    <m/>
    <n v="0"/>
    <n v="1"/>
    <n v="1368"/>
    <n v="28"/>
    <x v="2"/>
    <x v="0"/>
    <n v="4"/>
    <n v="88"/>
    <n v="2"/>
    <n v="2"/>
    <x v="0"/>
    <n v="4523"/>
    <n v="4386"/>
    <n v="0"/>
    <n v="11"/>
    <n v="3"/>
    <n v="4"/>
    <n v="80"/>
    <n v="3"/>
    <n v="7"/>
    <n v="4"/>
    <n v="6"/>
    <n v="5"/>
    <n v="0"/>
    <n v="4"/>
  </r>
  <r>
    <s v="Yes"/>
    <s v="Travel_Rarely"/>
    <x v="4"/>
    <s v="Ex-Employees"/>
    <x v="0"/>
    <x v="4"/>
    <x v="414"/>
    <x v="414"/>
    <x v="0"/>
    <x v="6"/>
    <x v="0"/>
    <s v="Yes"/>
    <s v="Y"/>
    <n v="4"/>
    <n v="-2"/>
    <n v="0"/>
    <x v="17"/>
    <x v="0"/>
    <n v="1"/>
    <n v="1"/>
    <n v="0"/>
    <n v="1448"/>
    <n v="1"/>
    <x v="1"/>
    <x v="0"/>
    <n v="4"/>
    <n v="62"/>
    <n v="3"/>
    <n v="1"/>
    <x v="0"/>
    <n v="3202"/>
    <n v="21972"/>
    <n v="1"/>
    <n v="16"/>
    <n v="3"/>
    <n v="2"/>
    <n v="80"/>
    <n v="0"/>
    <n v="6"/>
    <n v="3"/>
    <n v="5"/>
    <n v="3"/>
    <n v="1"/>
    <n v="4"/>
  </r>
  <r>
    <s v="Yes"/>
    <s v="Travel_Frequently"/>
    <x v="2"/>
    <s v="Ex-Employees"/>
    <x v="0"/>
    <x v="3"/>
    <x v="415"/>
    <x v="415"/>
    <x v="0"/>
    <x v="6"/>
    <x v="2"/>
    <s v="No"/>
    <s v="Y"/>
    <n v="3"/>
    <n v="-2"/>
    <n v="0"/>
    <x v="13"/>
    <x v="0"/>
    <n v="1"/>
    <n v="1"/>
    <n v="0"/>
    <n v="296"/>
    <n v="6"/>
    <x v="0"/>
    <x v="0"/>
    <n v="4"/>
    <n v="33"/>
    <n v="1"/>
    <n v="1"/>
    <x v="3"/>
    <n v="2351"/>
    <n v="12253"/>
    <n v="0"/>
    <n v="16"/>
    <n v="3"/>
    <n v="4"/>
    <n v="80"/>
    <n v="1"/>
    <n v="3"/>
    <n v="2"/>
    <n v="2"/>
    <n v="2"/>
    <n v="1"/>
    <n v="0"/>
  </r>
  <r>
    <s v="No"/>
    <s v="Travel_Frequently"/>
    <x v="0"/>
    <s v="Current Employees"/>
    <x v="1"/>
    <x v="0"/>
    <x v="416"/>
    <x v="416"/>
    <x v="1"/>
    <x v="2"/>
    <x v="1"/>
    <s v="Yes"/>
    <s v="Y"/>
    <n v="3"/>
    <n v="-2"/>
    <n v="0"/>
    <x v="8"/>
    <x v="1"/>
    <m/>
    <n v="0"/>
    <n v="1"/>
    <n v="1490"/>
    <n v="2"/>
    <x v="0"/>
    <x v="0"/>
    <n v="4"/>
    <n v="42"/>
    <n v="3"/>
    <n v="1"/>
    <x v="1"/>
    <n v="1702"/>
    <n v="12106"/>
    <n v="1"/>
    <n v="23"/>
    <n v="4"/>
    <n v="3"/>
    <n v="80"/>
    <n v="1"/>
    <n v="1"/>
    <n v="3"/>
    <n v="1"/>
    <n v="0"/>
    <n v="0"/>
    <n v="0"/>
  </r>
  <r>
    <s v="No"/>
    <s v="Travel_Rarely"/>
    <x v="0"/>
    <s v="Current Employees"/>
    <x v="0"/>
    <x v="0"/>
    <x v="417"/>
    <x v="417"/>
    <x v="0"/>
    <x v="5"/>
    <x v="1"/>
    <s v="No"/>
    <s v="Y"/>
    <n v="2"/>
    <n v="-2"/>
    <n v="0"/>
    <x v="32"/>
    <x v="1"/>
    <m/>
    <n v="0"/>
    <n v="1"/>
    <n v="1398"/>
    <n v="2"/>
    <x v="2"/>
    <x v="0"/>
    <n v="3"/>
    <n v="79"/>
    <n v="3"/>
    <n v="5"/>
    <x v="1"/>
    <n v="18041"/>
    <n v="13022"/>
    <n v="0"/>
    <n v="14"/>
    <n v="3"/>
    <n v="4"/>
    <n v="80"/>
    <n v="0"/>
    <n v="21"/>
    <n v="3"/>
    <n v="20"/>
    <n v="15"/>
    <n v="1"/>
    <n v="12"/>
  </r>
  <r>
    <s v="No"/>
    <s v="Travel_Rarely"/>
    <x v="2"/>
    <s v="Current Employees"/>
    <x v="1"/>
    <x v="0"/>
    <x v="418"/>
    <x v="418"/>
    <x v="0"/>
    <x v="1"/>
    <x v="2"/>
    <s v="No"/>
    <s v="Y"/>
    <n v="3"/>
    <n v="-2"/>
    <n v="0"/>
    <x v="25"/>
    <x v="1"/>
    <m/>
    <n v="0"/>
    <n v="1"/>
    <n v="1349"/>
    <n v="23"/>
    <x v="3"/>
    <x v="0"/>
    <n v="1"/>
    <n v="90"/>
    <n v="3"/>
    <n v="1"/>
    <x v="1"/>
    <n v="2886"/>
    <n v="3032"/>
    <n v="1"/>
    <n v="22"/>
    <n v="4"/>
    <n v="2"/>
    <n v="80"/>
    <n v="2"/>
    <n v="3"/>
    <n v="1"/>
    <n v="3"/>
    <n v="2"/>
    <n v="0"/>
    <n v="2"/>
  </r>
  <r>
    <s v="No"/>
    <s v="Non-Travel"/>
    <x v="2"/>
    <s v="Current Employees"/>
    <x v="1"/>
    <x v="0"/>
    <x v="419"/>
    <x v="419"/>
    <x v="1"/>
    <x v="2"/>
    <x v="1"/>
    <s v="No"/>
    <s v="Y"/>
    <n v="3"/>
    <n v="-2"/>
    <n v="0"/>
    <x v="7"/>
    <x v="1"/>
    <m/>
    <n v="0"/>
    <n v="1"/>
    <n v="1400"/>
    <n v="3"/>
    <x v="3"/>
    <x v="0"/>
    <n v="3"/>
    <n v="53"/>
    <n v="3"/>
    <n v="1"/>
    <x v="1"/>
    <n v="2097"/>
    <n v="16734"/>
    <n v="4"/>
    <n v="15"/>
    <n v="3"/>
    <n v="3"/>
    <n v="80"/>
    <n v="1"/>
    <n v="9"/>
    <n v="1"/>
    <n v="5"/>
    <n v="3"/>
    <n v="1"/>
    <n v="4"/>
  </r>
  <r>
    <s v="No"/>
    <s v="Travel_Rarely"/>
    <x v="2"/>
    <s v="Current Employees"/>
    <x v="1"/>
    <x v="2"/>
    <x v="420"/>
    <x v="420"/>
    <x v="1"/>
    <x v="7"/>
    <x v="1"/>
    <s v="No"/>
    <s v="Y"/>
    <n v="2"/>
    <n v="-2"/>
    <n v="0"/>
    <x v="11"/>
    <x v="1"/>
    <m/>
    <n v="0"/>
    <n v="1"/>
    <n v="986"/>
    <n v="3"/>
    <x v="2"/>
    <x v="0"/>
    <n v="2"/>
    <n v="93"/>
    <n v="2"/>
    <n v="3"/>
    <x v="2"/>
    <n v="11935"/>
    <n v="21526"/>
    <n v="1"/>
    <n v="18"/>
    <n v="3"/>
    <n v="3"/>
    <n v="80"/>
    <n v="0"/>
    <n v="10"/>
    <n v="3"/>
    <n v="10"/>
    <n v="2"/>
    <n v="0"/>
    <n v="7"/>
  </r>
  <r>
    <s v="Yes"/>
    <s v="Travel_Rarely"/>
    <x v="2"/>
    <s v="Ex-Employees"/>
    <x v="1"/>
    <x v="4"/>
    <x v="421"/>
    <x v="421"/>
    <x v="0"/>
    <x v="1"/>
    <x v="1"/>
    <s v="No"/>
    <s v="Y"/>
    <n v="2"/>
    <n v="-2"/>
    <n v="0"/>
    <x v="11"/>
    <x v="0"/>
    <n v="1"/>
    <n v="1"/>
    <n v="0"/>
    <n v="408"/>
    <n v="25"/>
    <x v="4"/>
    <x v="0"/>
    <n v="4"/>
    <n v="71"/>
    <n v="2"/>
    <n v="1"/>
    <x v="0"/>
    <n v="2546"/>
    <n v="18300"/>
    <n v="5"/>
    <n v="16"/>
    <n v="3"/>
    <n v="2"/>
    <n v="80"/>
    <n v="0"/>
    <n v="6"/>
    <n v="4"/>
    <n v="2"/>
    <n v="2"/>
    <n v="1"/>
    <n v="1"/>
  </r>
  <r>
    <s v="Yes"/>
    <s v="Travel_Rarely"/>
    <x v="4"/>
    <s v="Ex-Employees"/>
    <x v="2"/>
    <x v="4"/>
    <x v="422"/>
    <x v="422"/>
    <x v="1"/>
    <x v="8"/>
    <x v="0"/>
    <s v="No"/>
    <s v="Y"/>
    <n v="3"/>
    <n v="-2"/>
    <n v="0"/>
    <x v="37"/>
    <x v="0"/>
    <n v="1"/>
    <n v="1"/>
    <n v="0"/>
    <n v="489"/>
    <n v="2"/>
    <x v="0"/>
    <x v="0"/>
    <n v="4"/>
    <n v="52"/>
    <n v="2"/>
    <n v="1"/>
    <x v="0"/>
    <n v="2564"/>
    <n v="18437"/>
    <n v="1"/>
    <n v="12"/>
    <n v="3"/>
    <n v="3"/>
    <n v="80"/>
    <n v="0"/>
    <n v="1"/>
    <n v="4"/>
    <n v="1"/>
    <n v="0"/>
    <n v="0"/>
    <n v="0"/>
  </r>
  <r>
    <s v="No"/>
    <s v="Non-Travel"/>
    <x v="2"/>
    <s v="Current Employees"/>
    <x v="0"/>
    <x v="1"/>
    <x v="423"/>
    <x v="423"/>
    <x v="0"/>
    <x v="0"/>
    <x v="1"/>
    <s v="No"/>
    <s v="Y"/>
    <n v="3"/>
    <n v="-2"/>
    <n v="0"/>
    <x v="7"/>
    <x v="1"/>
    <m/>
    <n v="0"/>
    <n v="1"/>
    <n v="1398"/>
    <n v="22"/>
    <x v="2"/>
    <x v="0"/>
    <n v="3"/>
    <n v="69"/>
    <n v="3"/>
    <n v="3"/>
    <x v="2"/>
    <n v="8412"/>
    <n v="2890"/>
    <n v="0"/>
    <n v="11"/>
    <n v="3"/>
    <n v="3"/>
    <n v="80"/>
    <n v="0"/>
    <n v="10"/>
    <n v="3"/>
    <n v="9"/>
    <n v="8"/>
    <n v="7"/>
    <n v="8"/>
  </r>
  <r>
    <s v="No"/>
    <s v="Travel_Rarely"/>
    <x v="3"/>
    <s v="Current Employees"/>
    <x v="0"/>
    <x v="3"/>
    <x v="424"/>
    <x v="424"/>
    <x v="1"/>
    <x v="5"/>
    <x v="2"/>
    <s v="No"/>
    <s v="Y"/>
    <n v="3"/>
    <n v="-2"/>
    <n v="0"/>
    <x v="38"/>
    <x v="1"/>
    <m/>
    <n v="0"/>
    <n v="1"/>
    <n v="210"/>
    <n v="29"/>
    <x v="3"/>
    <x v="0"/>
    <n v="1"/>
    <n v="56"/>
    <n v="2"/>
    <n v="4"/>
    <x v="3"/>
    <n v="14118"/>
    <n v="22102"/>
    <n v="3"/>
    <n v="12"/>
    <n v="3"/>
    <n v="3"/>
    <n v="80"/>
    <n v="1"/>
    <n v="32"/>
    <n v="2"/>
    <n v="1"/>
    <n v="0"/>
    <n v="0"/>
    <n v="0"/>
  </r>
  <r>
    <s v="No"/>
    <s v="Travel_Rarely"/>
    <x v="1"/>
    <s v="Current Employees"/>
    <x v="1"/>
    <x v="0"/>
    <x v="425"/>
    <x v="425"/>
    <x v="1"/>
    <x v="5"/>
    <x v="1"/>
    <s v="No"/>
    <s v="Y"/>
    <n v="2"/>
    <n v="-2"/>
    <n v="0"/>
    <x v="24"/>
    <x v="1"/>
    <m/>
    <n v="0"/>
    <n v="1"/>
    <n v="1099"/>
    <n v="29"/>
    <x v="2"/>
    <x v="0"/>
    <n v="2"/>
    <n v="88"/>
    <n v="2"/>
    <n v="4"/>
    <x v="1"/>
    <n v="17046"/>
    <n v="9314"/>
    <n v="0"/>
    <n v="15"/>
    <n v="3"/>
    <n v="2"/>
    <n v="80"/>
    <n v="1"/>
    <n v="28"/>
    <n v="3"/>
    <n v="27"/>
    <n v="10"/>
    <n v="15"/>
    <n v="7"/>
  </r>
  <r>
    <s v="No"/>
    <s v="Non-Travel"/>
    <x v="2"/>
    <s v="Current Employees"/>
    <x v="1"/>
    <x v="2"/>
    <x v="426"/>
    <x v="426"/>
    <x v="0"/>
    <x v="2"/>
    <x v="0"/>
    <s v="No"/>
    <s v="Y"/>
    <n v="2"/>
    <n v="-2"/>
    <n v="0"/>
    <x v="7"/>
    <x v="1"/>
    <m/>
    <n v="0"/>
    <n v="1"/>
    <n v="1116"/>
    <n v="2"/>
    <x v="3"/>
    <x v="0"/>
    <n v="3"/>
    <n v="49"/>
    <n v="3"/>
    <n v="1"/>
    <x v="0"/>
    <n v="2564"/>
    <n v="7181"/>
    <n v="0"/>
    <n v="14"/>
    <n v="3"/>
    <n v="3"/>
    <n v="80"/>
    <n v="0"/>
    <n v="12"/>
    <n v="2"/>
    <n v="11"/>
    <n v="7"/>
    <n v="6"/>
    <n v="7"/>
  </r>
  <r>
    <s v="No"/>
    <s v="Travel_Frequently"/>
    <x v="3"/>
    <s v="Current Employees"/>
    <x v="0"/>
    <x v="3"/>
    <x v="427"/>
    <x v="427"/>
    <x v="0"/>
    <x v="0"/>
    <x v="1"/>
    <s v="No"/>
    <s v="Y"/>
    <n v="5"/>
    <n v="-2"/>
    <n v="0"/>
    <x v="42"/>
    <x v="1"/>
    <m/>
    <n v="0"/>
    <n v="1"/>
    <n v="1499"/>
    <n v="28"/>
    <x v="3"/>
    <x v="0"/>
    <n v="3"/>
    <n v="80"/>
    <n v="2"/>
    <n v="3"/>
    <x v="3"/>
    <n v="10266"/>
    <n v="2845"/>
    <n v="4"/>
    <n v="19"/>
    <n v="3"/>
    <n v="4"/>
    <n v="80"/>
    <n v="0"/>
    <n v="22"/>
    <n v="4"/>
    <n v="18"/>
    <n v="13"/>
    <n v="13"/>
    <n v="11"/>
  </r>
  <r>
    <s v="No"/>
    <s v="Travel_Rarely"/>
    <x v="1"/>
    <s v="Current Employees"/>
    <x v="1"/>
    <x v="2"/>
    <x v="428"/>
    <x v="428"/>
    <x v="0"/>
    <x v="3"/>
    <x v="2"/>
    <s v="No"/>
    <s v="Y"/>
    <n v="2"/>
    <n v="-2"/>
    <n v="0"/>
    <x v="40"/>
    <x v="1"/>
    <m/>
    <n v="0"/>
    <n v="1"/>
    <n v="983"/>
    <n v="2"/>
    <x v="0"/>
    <x v="0"/>
    <n v="1"/>
    <n v="65"/>
    <n v="3"/>
    <n v="2"/>
    <x v="0"/>
    <n v="5070"/>
    <n v="7389"/>
    <n v="5"/>
    <n v="13"/>
    <n v="3"/>
    <n v="3"/>
    <n v="80"/>
    <n v="3"/>
    <n v="20"/>
    <n v="3"/>
    <n v="5"/>
    <n v="0"/>
    <n v="0"/>
    <n v="4"/>
  </r>
  <r>
    <s v="No"/>
    <s v="Travel_Rarely"/>
    <x v="1"/>
    <s v="Current Employees"/>
    <x v="1"/>
    <x v="0"/>
    <x v="429"/>
    <x v="429"/>
    <x v="1"/>
    <x v="7"/>
    <x v="1"/>
    <s v="No"/>
    <s v="Y"/>
    <n v="2"/>
    <n v="-2"/>
    <n v="0"/>
    <x v="21"/>
    <x v="1"/>
    <m/>
    <n v="0"/>
    <n v="1"/>
    <n v="1009"/>
    <n v="2"/>
    <x v="3"/>
    <x v="0"/>
    <n v="1"/>
    <n v="51"/>
    <n v="3"/>
    <n v="4"/>
    <x v="1"/>
    <n v="17861"/>
    <n v="2288"/>
    <n v="6"/>
    <n v="13"/>
    <n v="3"/>
    <n v="3"/>
    <n v="80"/>
    <n v="0"/>
    <n v="26"/>
    <n v="1"/>
    <n v="3"/>
    <n v="2"/>
    <n v="0"/>
    <n v="1"/>
  </r>
  <r>
    <s v="No"/>
    <s v="Travel_Rarely"/>
    <x v="0"/>
    <s v="Current Employees"/>
    <x v="1"/>
    <x v="0"/>
    <x v="430"/>
    <x v="430"/>
    <x v="1"/>
    <x v="2"/>
    <x v="0"/>
    <s v="No"/>
    <s v="Y"/>
    <n v="2"/>
    <n v="-2"/>
    <n v="0"/>
    <x v="10"/>
    <x v="1"/>
    <m/>
    <n v="0"/>
    <n v="1"/>
    <n v="144"/>
    <n v="22"/>
    <x v="3"/>
    <x v="0"/>
    <n v="4"/>
    <n v="46"/>
    <n v="1"/>
    <n v="1"/>
    <x v="1"/>
    <n v="4230"/>
    <n v="19225"/>
    <n v="0"/>
    <n v="15"/>
    <n v="3"/>
    <n v="3"/>
    <n v="80"/>
    <n v="0"/>
    <n v="6"/>
    <n v="3"/>
    <n v="5"/>
    <n v="4"/>
    <n v="4"/>
    <n v="3"/>
  </r>
  <r>
    <s v="No"/>
    <s v="Travel_Rarely"/>
    <x v="1"/>
    <s v="Current Employees"/>
    <x v="1"/>
    <x v="0"/>
    <x v="431"/>
    <x v="431"/>
    <x v="0"/>
    <x v="2"/>
    <x v="0"/>
    <s v="No"/>
    <s v="Y"/>
    <n v="3"/>
    <n v="-2"/>
    <n v="0"/>
    <x v="33"/>
    <x v="1"/>
    <m/>
    <n v="0"/>
    <n v="1"/>
    <n v="548"/>
    <n v="8"/>
    <x v="2"/>
    <x v="0"/>
    <n v="3"/>
    <n v="42"/>
    <n v="3"/>
    <n v="2"/>
    <x v="1"/>
    <n v="3780"/>
    <n v="23428"/>
    <n v="7"/>
    <n v="11"/>
    <n v="3"/>
    <n v="3"/>
    <n v="80"/>
    <n v="0"/>
    <n v="19"/>
    <n v="3"/>
    <n v="1"/>
    <n v="0"/>
    <n v="0"/>
    <n v="0"/>
  </r>
  <r>
    <s v="No"/>
    <s v="Travel_Rarely"/>
    <x v="2"/>
    <s v="Current Employees"/>
    <x v="1"/>
    <x v="0"/>
    <x v="432"/>
    <x v="432"/>
    <x v="1"/>
    <x v="1"/>
    <x v="2"/>
    <s v="No"/>
    <s v="Y"/>
    <n v="3"/>
    <n v="-2"/>
    <n v="0"/>
    <x v="13"/>
    <x v="1"/>
    <m/>
    <n v="0"/>
    <n v="1"/>
    <n v="1303"/>
    <n v="2"/>
    <x v="2"/>
    <x v="0"/>
    <n v="4"/>
    <n v="62"/>
    <n v="2"/>
    <n v="1"/>
    <x v="1"/>
    <n v="2768"/>
    <n v="8416"/>
    <n v="3"/>
    <n v="12"/>
    <n v="3"/>
    <n v="3"/>
    <n v="80"/>
    <n v="1"/>
    <n v="14"/>
    <n v="3"/>
    <n v="7"/>
    <n v="3"/>
    <n v="5"/>
    <n v="7"/>
  </r>
  <r>
    <s v="No"/>
    <s v="Travel_Rarely"/>
    <x v="1"/>
    <s v="Current Employees"/>
    <x v="0"/>
    <x v="3"/>
    <x v="433"/>
    <x v="433"/>
    <x v="0"/>
    <x v="0"/>
    <x v="1"/>
    <s v="Yes"/>
    <s v="Y"/>
    <n v="3"/>
    <n v="-2"/>
    <n v="0"/>
    <x v="21"/>
    <x v="1"/>
    <m/>
    <n v="0"/>
    <n v="1"/>
    <n v="1125"/>
    <n v="10"/>
    <x v="3"/>
    <x v="0"/>
    <n v="3"/>
    <n v="94"/>
    <n v="2"/>
    <n v="3"/>
    <x v="3"/>
    <n v="9071"/>
    <n v="11563"/>
    <n v="2"/>
    <n v="19"/>
    <n v="3"/>
    <n v="3"/>
    <n v="80"/>
    <n v="1"/>
    <n v="15"/>
    <n v="3"/>
    <n v="3"/>
    <n v="2"/>
    <n v="1"/>
    <n v="2"/>
  </r>
  <r>
    <s v="No"/>
    <s v="Travel_Rarely"/>
    <x v="2"/>
    <s v="Current Employees"/>
    <x v="1"/>
    <x v="0"/>
    <x v="434"/>
    <x v="434"/>
    <x v="1"/>
    <x v="3"/>
    <x v="2"/>
    <s v="No"/>
    <s v="Y"/>
    <n v="6"/>
    <n v="-2"/>
    <n v="0"/>
    <x v="12"/>
    <x v="1"/>
    <m/>
    <n v="0"/>
    <n v="1"/>
    <n v="1274"/>
    <n v="9"/>
    <x v="1"/>
    <x v="0"/>
    <n v="3"/>
    <n v="33"/>
    <n v="3"/>
    <n v="3"/>
    <x v="1"/>
    <n v="10648"/>
    <n v="14394"/>
    <n v="1"/>
    <n v="25"/>
    <n v="4"/>
    <n v="4"/>
    <n v="80"/>
    <n v="1"/>
    <n v="13"/>
    <n v="4"/>
    <n v="13"/>
    <n v="8"/>
    <n v="0"/>
    <n v="8"/>
  </r>
  <r>
    <s v="Yes"/>
    <s v="Travel_Rarely"/>
    <x v="2"/>
    <s v="Ex-Employees"/>
    <x v="1"/>
    <x v="2"/>
    <x v="435"/>
    <x v="435"/>
    <x v="1"/>
    <x v="5"/>
    <x v="1"/>
    <s v="Yes"/>
    <s v="Y"/>
    <n v="2"/>
    <n v="-2"/>
    <n v="0"/>
    <x v="3"/>
    <x v="0"/>
    <n v="1"/>
    <n v="1"/>
    <n v="0"/>
    <n v="1277"/>
    <n v="15"/>
    <x v="1"/>
    <x v="0"/>
    <n v="2"/>
    <n v="56"/>
    <n v="3"/>
    <n v="3"/>
    <x v="2"/>
    <n v="13610"/>
    <n v="24619"/>
    <n v="7"/>
    <n v="12"/>
    <n v="3"/>
    <n v="4"/>
    <n v="80"/>
    <n v="0"/>
    <n v="15"/>
    <n v="4"/>
    <n v="7"/>
    <n v="6"/>
    <n v="7"/>
    <n v="7"/>
  </r>
  <r>
    <s v="Yes"/>
    <s v="Travel_Rarely"/>
    <x v="2"/>
    <s v="Ex-Employees"/>
    <x v="1"/>
    <x v="2"/>
    <x v="436"/>
    <x v="436"/>
    <x v="1"/>
    <x v="2"/>
    <x v="2"/>
    <s v="No"/>
    <s v="Y"/>
    <n v="2"/>
    <n v="-2"/>
    <n v="0"/>
    <x v="3"/>
    <x v="0"/>
    <n v="1"/>
    <n v="1"/>
    <n v="0"/>
    <n v="587"/>
    <n v="10"/>
    <x v="1"/>
    <x v="0"/>
    <n v="1"/>
    <n v="38"/>
    <n v="1"/>
    <n v="1"/>
    <x v="0"/>
    <n v="3408"/>
    <n v="6705"/>
    <n v="7"/>
    <n v="13"/>
    <n v="3"/>
    <n v="1"/>
    <n v="80"/>
    <n v="3"/>
    <n v="8"/>
    <n v="3"/>
    <n v="4"/>
    <n v="3"/>
    <n v="1"/>
    <n v="3"/>
  </r>
  <r>
    <s v="No"/>
    <s v="Travel_Rarely"/>
    <x v="2"/>
    <s v="Current Employees"/>
    <x v="0"/>
    <x v="3"/>
    <x v="437"/>
    <x v="437"/>
    <x v="1"/>
    <x v="6"/>
    <x v="0"/>
    <s v="No"/>
    <s v="Y"/>
    <n v="3"/>
    <n v="-2"/>
    <n v="0"/>
    <x v="7"/>
    <x v="1"/>
    <m/>
    <n v="0"/>
    <n v="1"/>
    <n v="413"/>
    <n v="7"/>
    <x v="1"/>
    <x v="0"/>
    <n v="4"/>
    <n v="57"/>
    <n v="3"/>
    <n v="1"/>
    <x v="3"/>
    <n v="2983"/>
    <n v="18398"/>
    <n v="0"/>
    <n v="14"/>
    <n v="3"/>
    <n v="1"/>
    <n v="80"/>
    <n v="0"/>
    <n v="4"/>
    <n v="3"/>
    <n v="3"/>
    <n v="2"/>
    <n v="1"/>
    <n v="2"/>
  </r>
  <r>
    <s v="No"/>
    <s v="Travel_Rarely"/>
    <x v="0"/>
    <s v="Current Employees"/>
    <x v="1"/>
    <x v="0"/>
    <x v="438"/>
    <x v="438"/>
    <x v="1"/>
    <x v="4"/>
    <x v="1"/>
    <s v="Yes"/>
    <s v="Y"/>
    <n v="2"/>
    <n v="-2"/>
    <n v="0"/>
    <x v="10"/>
    <x v="1"/>
    <m/>
    <n v="0"/>
    <n v="1"/>
    <n v="1276"/>
    <n v="16"/>
    <x v="3"/>
    <x v="0"/>
    <n v="4"/>
    <n v="72"/>
    <n v="3"/>
    <n v="3"/>
    <x v="1"/>
    <n v="7632"/>
    <n v="14295"/>
    <n v="4"/>
    <n v="12"/>
    <n v="3"/>
    <n v="3"/>
    <n v="80"/>
    <n v="0"/>
    <n v="10"/>
    <n v="3"/>
    <n v="8"/>
    <n v="7"/>
    <n v="0"/>
    <n v="0"/>
  </r>
  <r>
    <s v="Yes"/>
    <s v="Travel_Frequently"/>
    <x v="2"/>
    <s v="Ex-Employees"/>
    <x v="1"/>
    <x v="0"/>
    <x v="439"/>
    <x v="439"/>
    <x v="1"/>
    <x v="4"/>
    <x v="1"/>
    <s v="No"/>
    <s v="Y"/>
    <n v="2"/>
    <n v="-2"/>
    <n v="0"/>
    <x v="12"/>
    <x v="0"/>
    <n v="1"/>
    <n v="1"/>
    <n v="0"/>
    <n v="534"/>
    <n v="20"/>
    <x v="3"/>
    <x v="0"/>
    <n v="1"/>
    <n v="66"/>
    <n v="3"/>
    <n v="3"/>
    <x v="1"/>
    <n v="9824"/>
    <n v="22908"/>
    <n v="3"/>
    <n v="12"/>
    <n v="3"/>
    <n v="1"/>
    <n v="80"/>
    <n v="0"/>
    <n v="12"/>
    <n v="3"/>
    <n v="1"/>
    <n v="0"/>
    <n v="0"/>
    <n v="0"/>
  </r>
  <r>
    <s v="Yes"/>
    <s v="Travel_Frequently"/>
    <x v="2"/>
    <s v="Ex-Employees"/>
    <x v="2"/>
    <x v="5"/>
    <x v="440"/>
    <x v="440"/>
    <x v="0"/>
    <x v="8"/>
    <x v="2"/>
    <s v="Yes"/>
    <s v="Y"/>
    <n v="2"/>
    <n v="-2"/>
    <n v="0"/>
    <x v="13"/>
    <x v="0"/>
    <n v="1"/>
    <n v="1"/>
    <n v="0"/>
    <n v="988"/>
    <n v="23"/>
    <x v="3"/>
    <x v="0"/>
    <n v="2"/>
    <n v="43"/>
    <n v="3"/>
    <n v="3"/>
    <x v="2"/>
    <n v="9950"/>
    <n v="11533"/>
    <n v="9"/>
    <n v="15"/>
    <n v="3"/>
    <n v="3"/>
    <n v="80"/>
    <n v="3"/>
    <n v="11"/>
    <n v="3"/>
    <n v="3"/>
    <n v="2"/>
    <n v="0"/>
    <n v="2"/>
  </r>
  <r>
    <s v="No"/>
    <s v="Travel_Frequently"/>
    <x v="0"/>
    <s v="Current Employees"/>
    <x v="1"/>
    <x v="1"/>
    <x v="441"/>
    <x v="441"/>
    <x v="1"/>
    <x v="2"/>
    <x v="1"/>
    <s v="No"/>
    <s v="Y"/>
    <n v="4"/>
    <n v="-2"/>
    <n v="0"/>
    <x v="19"/>
    <x v="1"/>
    <m/>
    <n v="0"/>
    <n v="1"/>
    <n v="1474"/>
    <n v="5"/>
    <x v="0"/>
    <x v="0"/>
    <n v="2"/>
    <n v="97"/>
    <n v="3"/>
    <n v="1"/>
    <x v="2"/>
    <n v="2093"/>
    <n v="9260"/>
    <n v="4"/>
    <n v="17"/>
    <n v="3"/>
    <n v="4"/>
    <n v="80"/>
    <n v="1"/>
    <n v="8"/>
    <n v="3"/>
    <n v="2"/>
    <n v="2"/>
    <n v="2"/>
    <n v="0"/>
  </r>
  <r>
    <s v="No"/>
    <s v="Non-Travel"/>
    <x v="0"/>
    <s v="Current Employees"/>
    <x v="0"/>
    <x v="2"/>
    <x v="442"/>
    <x v="442"/>
    <x v="1"/>
    <x v="0"/>
    <x v="0"/>
    <s v="No"/>
    <s v="Y"/>
    <n v="3"/>
    <n v="-2"/>
    <n v="0"/>
    <x v="9"/>
    <x v="1"/>
    <m/>
    <n v="0"/>
    <n v="1"/>
    <n v="635"/>
    <n v="10"/>
    <x v="2"/>
    <x v="0"/>
    <n v="2"/>
    <n v="32"/>
    <n v="3"/>
    <n v="3"/>
    <x v="0"/>
    <n v="9980"/>
    <n v="15318"/>
    <n v="1"/>
    <n v="14"/>
    <n v="3"/>
    <n v="4"/>
    <n v="80"/>
    <n v="0"/>
    <n v="10"/>
    <n v="2"/>
    <n v="10"/>
    <n v="3"/>
    <n v="9"/>
    <n v="7"/>
  </r>
  <r>
    <s v="Yes"/>
    <s v="Travel_Frequently"/>
    <x v="4"/>
    <s v="Ex-Employees"/>
    <x v="1"/>
    <x v="4"/>
    <x v="443"/>
    <x v="443"/>
    <x v="1"/>
    <x v="2"/>
    <x v="0"/>
    <s v="No"/>
    <s v="Y"/>
    <n v="3"/>
    <n v="-2"/>
    <n v="0"/>
    <x v="15"/>
    <x v="0"/>
    <n v="1"/>
    <n v="1"/>
    <n v="0"/>
    <n v="1368"/>
    <n v="4"/>
    <x v="1"/>
    <x v="0"/>
    <n v="4"/>
    <n v="99"/>
    <n v="2"/>
    <n v="1"/>
    <x v="0"/>
    <n v="3894"/>
    <n v="9129"/>
    <n v="5"/>
    <n v="16"/>
    <n v="3"/>
    <n v="3"/>
    <n v="80"/>
    <n v="0"/>
    <n v="4"/>
    <n v="3"/>
    <n v="2"/>
    <n v="2"/>
    <n v="1"/>
    <n v="2"/>
  </r>
  <r>
    <s v="No"/>
    <s v="Travel_Rarely"/>
    <x v="1"/>
    <s v="Current Employees"/>
    <x v="0"/>
    <x v="3"/>
    <x v="444"/>
    <x v="444"/>
    <x v="0"/>
    <x v="0"/>
    <x v="1"/>
    <s v="No"/>
    <s v="Y"/>
    <n v="2"/>
    <n v="-2"/>
    <n v="0"/>
    <x v="26"/>
    <x v="1"/>
    <m/>
    <n v="0"/>
    <n v="1"/>
    <n v="163"/>
    <n v="2"/>
    <x v="4"/>
    <x v="0"/>
    <n v="2"/>
    <n v="37"/>
    <n v="3"/>
    <n v="2"/>
    <x v="3"/>
    <n v="4051"/>
    <n v="19658"/>
    <n v="2"/>
    <n v="14"/>
    <n v="3"/>
    <n v="1"/>
    <n v="80"/>
    <n v="1"/>
    <n v="14"/>
    <n v="3"/>
    <n v="9"/>
    <n v="7"/>
    <n v="6"/>
    <n v="7"/>
  </r>
  <r>
    <s v="No"/>
    <s v="Travel_Rarely"/>
    <x v="3"/>
    <s v="Current Employees"/>
    <x v="0"/>
    <x v="0"/>
    <x v="445"/>
    <x v="445"/>
    <x v="0"/>
    <x v="5"/>
    <x v="0"/>
    <s v="No"/>
    <s v="Y"/>
    <n v="2"/>
    <n v="-2"/>
    <n v="0"/>
    <x v="27"/>
    <x v="1"/>
    <m/>
    <n v="0"/>
    <n v="1"/>
    <n v="1117"/>
    <n v="18"/>
    <x v="4"/>
    <x v="0"/>
    <n v="1"/>
    <n v="83"/>
    <n v="3"/>
    <n v="4"/>
    <x v="1"/>
    <n v="16835"/>
    <n v="9873"/>
    <n v="3"/>
    <n v="23"/>
    <n v="4"/>
    <n v="4"/>
    <n v="80"/>
    <n v="0"/>
    <n v="37"/>
    <n v="3"/>
    <n v="10"/>
    <n v="9"/>
    <n v="7"/>
    <n v="7"/>
  </r>
  <r>
    <s v="No"/>
    <s v="Non-Travel"/>
    <x v="0"/>
    <s v="Current Employees"/>
    <x v="0"/>
    <x v="0"/>
    <x v="446"/>
    <x v="446"/>
    <x v="1"/>
    <x v="0"/>
    <x v="0"/>
    <s v="No"/>
    <s v="Y"/>
    <n v="3"/>
    <n v="-2"/>
    <n v="0"/>
    <x v="0"/>
    <x v="1"/>
    <m/>
    <n v="0"/>
    <n v="1"/>
    <n v="267"/>
    <n v="10"/>
    <x v="0"/>
    <x v="0"/>
    <n v="4"/>
    <n v="56"/>
    <n v="3"/>
    <n v="2"/>
    <x v="1"/>
    <n v="6230"/>
    <n v="13430"/>
    <n v="7"/>
    <n v="14"/>
    <n v="3"/>
    <n v="4"/>
    <n v="80"/>
    <n v="0"/>
    <n v="16"/>
    <n v="3"/>
    <n v="14"/>
    <n v="3"/>
    <n v="1"/>
    <n v="10"/>
  </r>
  <r>
    <s v="No"/>
    <s v="Travel_Rarely"/>
    <x v="0"/>
    <s v="Current Employees"/>
    <x v="0"/>
    <x v="3"/>
    <x v="447"/>
    <x v="447"/>
    <x v="1"/>
    <x v="0"/>
    <x v="1"/>
    <s v="No"/>
    <s v="Y"/>
    <n v="2"/>
    <n v="-2"/>
    <n v="0"/>
    <x v="10"/>
    <x v="1"/>
    <m/>
    <n v="0"/>
    <n v="1"/>
    <n v="619"/>
    <n v="1"/>
    <x v="3"/>
    <x v="0"/>
    <n v="2"/>
    <n v="85"/>
    <n v="3"/>
    <n v="2"/>
    <x v="3"/>
    <n v="4717"/>
    <n v="18659"/>
    <n v="9"/>
    <n v="11"/>
    <n v="3"/>
    <n v="3"/>
    <n v="80"/>
    <n v="0"/>
    <n v="15"/>
    <n v="3"/>
    <n v="11"/>
    <n v="9"/>
    <n v="6"/>
    <n v="9"/>
  </r>
  <r>
    <s v="No"/>
    <s v="Travel_Rarely"/>
    <x v="0"/>
    <s v="Current Employees"/>
    <x v="1"/>
    <x v="0"/>
    <x v="448"/>
    <x v="448"/>
    <x v="0"/>
    <x v="3"/>
    <x v="0"/>
    <s v="No"/>
    <s v="Y"/>
    <n v="3"/>
    <n v="-2"/>
    <n v="0"/>
    <x v="32"/>
    <x v="1"/>
    <m/>
    <n v="0"/>
    <n v="1"/>
    <n v="302"/>
    <n v="6"/>
    <x v="3"/>
    <x v="0"/>
    <n v="2"/>
    <n v="75"/>
    <n v="3"/>
    <n v="4"/>
    <x v="1"/>
    <n v="13237"/>
    <n v="20364"/>
    <n v="7"/>
    <n v="15"/>
    <n v="3"/>
    <n v="3"/>
    <n v="80"/>
    <n v="0"/>
    <n v="22"/>
    <n v="3"/>
    <n v="20"/>
    <n v="6"/>
    <n v="5"/>
    <n v="13"/>
  </r>
  <r>
    <s v="No"/>
    <s v="Travel_Frequently"/>
    <x v="0"/>
    <s v="Current Employees"/>
    <x v="1"/>
    <x v="0"/>
    <x v="449"/>
    <x v="449"/>
    <x v="0"/>
    <x v="2"/>
    <x v="1"/>
    <s v="No"/>
    <s v="Y"/>
    <n v="3"/>
    <n v="-2"/>
    <n v="0"/>
    <x v="22"/>
    <x v="1"/>
    <m/>
    <n v="0"/>
    <n v="1"/>
    <n v="443"/>
    <n v="8"/>
    <x v="1"/>
    <x v="0"/>
    <n v="3"/>
    <n v="48"/>
    <n v="3"/>
    <n v="1"/>
    <x v="1"/>
    <n v="3755"/>
    <n v="17872"/>
    <n v="1"/>
    <n v="11"/>
    <n v="3"/>
    <n v="1"/>
    <n v="80"/>
    <n v="1"/>
    <n v="8"/>
    <n v="3"/>
    <n v="8"/>
    <n v="3"/>
    <n v="0"/>
    <n v="7"/>
  </r>
  <r>
    <s v="No"/>
    <s v="Travel_Rarely"/>
    <x v="2"/>
    <s v="Current Employees"/>
    <x v="0"/>
    <x v="0"/>
    <x v="450"/>
    <x v="450"/>
    <x v="1"/>
    <x v="0"/>
    <x v="0"/>
    <s v="Yes"/>
    <s v="Y"/>
    <n v="2"/>
    <n v="-2"/>
    <n v="0"/>
    <x v="12"/>
    <x v="1"/>
    <m/>
    <n v="0"/>
    <n v="1"/>
    <n v="828"/>
    <n v="2"/>
    <x v="1"/>
    <x v="0"/>
    <n v="2"/>
    <n v="77"/>
    <n v="3"/>
    <n v="2"/>
    <x v="1"/>
    <n v="6582"/>
    <n v="8346"/>
    <n v="4"/>
    <n v="13"/>
    <n v="3"/>
    <n v="3"/>
    <n v="80"/>
    <n v="0"/>
    <n v="10"/>
    <n v="4"/>
    <n v="6"/>
    <n v="5"/>
    <n v="0"/>
    <n v="5"/>
  </r>
  <r>
    <s v="No"/>
    <s v="Travel_Rarely"/>
    <x v="0"/>
    <s v="Current Employees"/>
    <x v="1"/>
    <x v="2"/>
    <x v="451"/>
    <x v="451"/>
    <x v="1"/>
    <x v="3"/>
    <x v="1"/>
    <s v="Yes"/>
    <s v="Y"/>
    <n v="5"/>
    <n v="-2"/>
    <n v="0"/>
    <x v="19"/>
    <x v="1"/>
    <m/>
    <n v="0"/>
    <n v="1"/>
    <n v="319"/>
    <n v="24"/>
    <x v="3"/>
    <x v="0"/>
    <n v="4"/>
    <n v="56"/>
    <n v="3"/>
    <n v="3"/>
    <x v="2"/>
    <n v="7406"/>
    <n v="6950"/>
    <n v="1"/>
    <n v="21"/>
    <n v="4"/>
    <n v="4"/>
    <n v="80"/>
    <n v="1"/>
    <n v="10"/>
    <n v="2"/>
    <n v="10"/>
    <n v="9"/>
    <n v="5"/>
    <n v="8"/>
  </r>
  <r>
    <s v="No"/>
    <s v="Travel_Rarely"/>
    <x v="1"/>
    <s v="Current Employees"/>
    <x v="0"/>
    <x v="1"/>
    <x v="452"/>
    <x v="452"/>
    <x v="1"/>
    <x v="0"/>
    <x v="1"/>
    <s v="No"/>
    <s v="Y"/>
    <n v="3"/>
    <n v="-2"/>
    <n v="0"/>
    <x v="28"/>
    <x v="1"/>
    <m/>
    <n v="0"/>
    <n v="1"/>
    <n v="561"/>
    <n v="2"/>
    <x v="3"/>
    <x v="0"/>
    <n v="4"/>
    <n v="61"/>
    <n v="3"/>
    <n v="2"/>
    <x v="2"/>
    <n v="4805"/>
    <n v="16177"/>
    <n v="0"/>
    <n v="19"/>
    <n v="3"/>
    <n v="2"/>
    <n v="80"/>
    <n v="1"/>
    <n v="9"/>
    <n v="4"/>
    <n v="8"/>
    <n v="7"/>
    <n v="3"/>
    <n v="7"/>
  </r>
  <r>
    <s v="Yes"/>
    <s v="Travel_Frequently"/>
    <x v="2"/>
    <s v="Ex-Employees"/>
    <x v="2"/>
    <x v="0"/>
    <x v="453"/>
    <x v="453"/>
    <x v="0"/>
    <x v="8"/>
    <x v="2"/>
    <s v="Yes"/>
    <s v="Y"/>
    <n v="2"/>
    <n v="-2"/>
    <n v="0"/>
    <x v="25"/>
    <x v="0"/>
    <n v="1"/>
    <n v="1"/>
    <n v="0"/>
    <n v="426"/>
    <n v="17"/>
    <x v="2"/>
    <x v="0"/>
    <n v="2"/>
    <n v="58"/>
    <n v="3"/>
    <n v="1"/>
    <x v="1"/>
    <n v="2741"/>
    <n v="22808"/>
    <n v="0"/>
    <n v="11"/>
    <n v="3"/>
    <n v="2"/>
    <n v="80"/>
    <n v="1"/>
    <n v="8"/>
    <n v="2"/>
    <n v="7"/>
    <n v="7"/>
    <n v="1"/>
    <n v="0"/>
  </r>
  <r>
    <s v="No"/>
    <s v="Travel_Rarely"/>
    <x v="2"/>
    <s v="Current Employees"/>
    <x v="1"/>
    <x v="4"/>
    <x v="454"/>
    <x v="454"/>
    <x v="1"/>
    <x v="3"/>
    <x v="2"/>
    <s v="No"/>
    <s v="Y"/>
    <n v="2"/>
    <n v="-2"/>
    <n v="0"/>
    <x v="11"/>
    <x v="1"/>
    <m/>
    <n v="0"/>
    <n v="1"/>
    <n v="232"/>
    <n v="19"/>
    <x v="3"/>
    <x v="0"/>
    <n v="4"/>
    <n v="34"/>
    <n v="3"/>
    <n v="2"/>
    <x v="0"/>
    <n v="4262"/>
    <n v="22645"/>
    <n v="4"/>
    <n v="12"/>
    <n v="3"/>
    <n v="2"/>
    <n v="80"/>
    <n v="2"/>
    <n v="8"/>
    <n v="4"/>
    <n v="3"/>
    <n v="2"/>
    <n v="1"/>
    <n v="2"/>
  </r>
  <r>
    <s v="No"/>
    <s v="Travel_Rarely"/>
    <x v="2"/>
    <s v="Current Employees"/>
    <x v="1"/>
    <x v="2"/>
    <x v="455"/>
    <x v="455"/>
    <x v="0"/>
    <x v="7"/>
    <x v="2"/>
    <s v="No"/>
    <s v="Y"/>
    <n v="2"/>
    <n v="-2"/>
    <n v="0"/>
    <x v="3"/>
    <x v="1"/>
    <m/>
    <n v="0"/>
    <n v="1"/>
    <n v="922"/>
    <n v="1"/>
    <x v="4"/>
    <x v="0"/>
    <n v="1"/>
    <n v="95"/>
    <n v="4"/>
    <n v="4"/>
    <x v="2"/>
    <n v="16184"/>
    <n v="22578"/>
    <n v="4"/>
    <n v="19"/>
    <n v="3"/>
    <n v="3"/>
    <n v="80"/>
    <n v="1"/>
    <n v="10"/>
    <n v="3"/>
    <n v="6"/>
    <n v="1"/>
    <n v="0"/>
    <n v="5"/>
  </r>
  <r>
    <s v="No"/>
    <s v="Travel_Rarely"/>
    <x v="2"/>
    <s v="Current Employees"/>
    <x v="0"/>
    <x v="0"/>
    <x v="456"/>
    <x v="456"/>
    <x v="1"/>
    <x v="5"/>
    <x v="2"/>
    <s v="No"/>
    <s v="Y"/>
    <n v="3"/>
    <n v="-2"/>
    <n v="0"/>
    <x v="12"/>
    <x v="1"/>
    <m/>
    <n v="0"/>
    <n v="1"/>
    <n v="688"/>
    <n v="7"/>
    <x v="3"/>
    <x v="0"/>
    <n v="3"/>
    <n v="44"/>
    <n v="2"/>
    <n v="3"/>
    <x v="1"/>
    <n v="11557"/>
    <n v="25291"/>
    <n v="9"/>
    <n v="21"/>
    <n v="4"/>
    <n v="3"/>
    <n v="80"/>
    <n v="1"/>
    <n v="10"/>
    <n v="2"/>
    <n v="5"/>
    <n v="4"/>
    <n v="0"/>
    <n v="1"/>
  </r>
  <r>
    <s v="Yes"/>
    <s v="Travel_Frequently"/>
    <x v="4"/>
    <s v="Ex-Employees"/>
    <x v="0"/>
    <x v="3"/>
    <x v="457"/>
    <x v="457"/>
    <x v="1"/>
    <x v="6"/>
    <x v="0"/>
    <s v="Yes"/>
    <s v="Y"/>
    <n v="3"/>
    <n v="-2"/>
    <n v="0"/>
    <x v="41"/>
    <x v="0"/>
    <n v="1"/>
    <n v="1"/>
    <n v="0"/>
    <n v="1306"/>
    <n v="5"/>
    <x v="3"/>
    <x v="0"/>
    <n v="2"/>
    <n v="69"/>
    <n v="3"/>
    <n v="1"/>
    <x v="3"/>
    <n v="1878"/>
    <n v="8059"/>
    <n v="1"/>
    <n v="14"/>
    <n v="3"/>
    <n v="4"/>
    <n v="80"/>
    <n v="0"/>
    <n v="0"/>
    <n v="3"/>
    <n v="0"/>
    <n v="0"/>
    <n v="0"/>
    <n v="0"/>
  </r>
  <r>
    <s v="No"/>
    <s v="Non-Travel"/>
    <x v="0"/>
    <s v="Current Employees"/>
    <x v="0"/>
    <x v="1"/>
    <x v="458"/>
    <x v="458"/>
    <x v="1"/>
    <x v="0"/>
    <x v="2"/>
    <s v="No"/>
    <s v="Y"/>
    <n v="2"/>
    <n v="-2"/>
    <n v="0"/>
    <x v="32"/>
    <x v="1"/>
    <m/>
    <n v="0"/>
    <n v="1"/>
    <n v="1094"/>
    <n v="28"/>
    <x v="3"/>
    <x v="0"/>
    <n v="3"/>
    <n v="58"/>
    <n v="1"/>
    <n v="3"/>
    <x v="2"/>
    <n v="10932"/>
    <n v="11373"/>
    <n v="3"/>
    <n v="15"/>
    <n v="3"/>
    <n v="3"/>
    <n v="80"/>
    <n v="1"/>
    <n v="20"/>
    <n v="3"/>
    <n v="1"/>
    <n v="0"/>
    <n v="0"/>
    <n v="1"/>
  </r>
  <r>
    <s v="No"/>
    <s v="Non-Travel"/>
    <x v="0"/>
    <s v="Current Employees"/>
    <x v="1"/>
    <x v="1"/>
    <x v="459"/>
    <x v="459"/>
    <x v="0"/>
    <x v="4"/>
    <x v="0"/>
    <s v="Yes"/>
    <s v="Y"/>
    <n v="3"/>
    <n v="-2"/>
    <n v="0"/>
    <x v="0"/>
    <x v="1"/>
    <m/>
    <n v="0"/>
    <n v="1"/>
    <n v="509"/>
    <n v="2"/>
    <x v="2"/>
    <x v="0"/>
    <n v="1"/>
    <n v="62"/>
    <n v="2"/>
    <n v="2"/>
    <x v="2"/>
    <n v="6811"/>
    <n v="2112"/>
    <n v="2"/>
    <n v="17"/>
    <n v="3"/>
    <n v="1"/>
    <n v="80"/>
    <n v="0"/>
    <n v="10"/>
    <n v="3"/>
    <n v="8"/>
    <n v="7"/>
    <n v="0"/>
    <n v="7"/>
  </r>
  <r>
    <s v="No"/>
    <s v="Travel_Rarely"/>
    <x v="2"/>
    <s v="Current Employees"/>
    <x v="0"/>
    <x v="2"/>
    <x v="460"/>
    <x v="460"/>
    <x v="1"/>
    <x v="0"/>
    <x v="2"/>
    <s v="No"/>
    <s v="Y"/>
    <n v="5"/>
    <n v="-2"/>
    <n v="0"/>
    <x v="25"/>
    <x v="1"/>
    <m/>
    <n v="0"/>
    <n v="1"/>
    <n v="775"/>
    <n v="29"/>
    <x v="0"/>
    <x v="0"/>
    <n v="1"/>
    <n v="45"/>
    <n v="3"/>
    <n v="2"/>
    <x v="2"/>
    <n v="4306"/>
    <n v="4267"/>
    <n v="5"/>
    <n v="12"/>
    <n v="3"/>
    <n v="1"/>
    <n v="80"/>
    <n v="2"/>
    <n v="8"/>
    <n v="3"/>
    <n v="0"/>
    <n v="0"/>
    <n v="0"/>
    <n v="0"/>
  </r>
  <r>
    <s v="No"/>
    <s v="Travel_Rarely"/>
    <x v="0"/>
    <s v="Current Employees"/>
    <x v="0"/>
    <x v="2"/>
    <x v="461"/>
    <x v="461"/>
    <x v="0"/>
    <x v="0"/>
    <x v="0"/>
    <s v="No"/>
    <s v="Y"/>
    <n v="3"/>
    <n v="-2"/>
    <n v="0"/>
    <x v="10"/>
    <x v="1"/>
    <m/>
    <n v="0"/>
    <n v="1"/>
    <n v="195"/>
    <n v="1"/>
    <x v="3"/>
    <x v="0"/>
    <n v="1"/>
    <n v="80"/>
    <n v="3"/>
    <n v="2"/>
    <x v="2"/>
    <n v="4859"/>
    <n v="6698"/>
    <n v="1"/>
    <n v="16"/>
    <n v="3"/>
    <n v="4"/>
    <n v="80"/>
    <n v="0"/>
    <n v="5"/>
    <n v="3"/>
    <n v="5"/>
    <n v="4"/>
    <n v="0"/>
    <n v="3"/>
  </r>
  <r>
    <s v="No"/>
    <s v="Travel_Rarely"/>
    <x v="2"/>
    <s v="Current Employees"/>
    <x v="0"/>
    <x v="0"/>
    <x v="462"/>
    <x v="462"/>
    <x v="1"/>
    <x v="0"/>
    <x v="0"/>
    <s v="No"/>
    <s v="Y"/>
    <n v="3"/>
    <n v="-2"/>
    <n v="0"/>
    <x v="13"/>
    <x v="1"/>
    <m/>
    <n v="0"/>
    <n v="1"/>
    <n v="258"/>
    <n v="21"/>
    <x v="2"/>
    <x v="0"/>
    <n v="4"/>
    <n v="74"/>
    <n v="4"/>
    <n v="2"/>
    <x v="1"/>
    <n v="5337"/>
    <n v="19921"/>
    <n v="1"/>
    <n v="12"/>
    <n v="3"/>
    <n v="4"/>
    <n v="80"/>
    <n v="0"/>
    <n v="10"/>
    <n v="3"/>
    <n v="10"/>
    <n v="7"/>
    <n v="5"/>
    <n v="7"/>
  </r>
  <r>
    <s v="Yes"/>
    <s v="Travel_Rarely"/>
    <x v="2"/>
    <s v="Ex-Employees"/>
    <x v="1"/>
    <x v="4"/>
    <x v="463"/>
    <x v="463"/>
    <x v="1"/>
    <x v="2"/>
    <x v="0"/>
    <s v="Yes"/>
    <s v="Y"/>
    <n v="3"/>
    <n v="-2"/>
    <n v="0"/>
    <x v="25"/>
    <x v="0"/>
    <n v="1"/>
    <n v="1"/>
    <n v="0"/>
    <n v="471"/>
    <n v="24"/>
    <x v="3"/>
    <x v="0"/>
    <n v="4"/>
    <n v="66"/>
    <n v="1"/>
    <n v="1"/>
    <x v="0"/>
    <n v="2340"/>
    <n v="23213"/>
    <n v="1"/>
    <n v="18"/>
    <n v="3"/>
    <n v="2"/>
    <n v="80"/>
    <n v="0"/>
    <n v="1"/>
    <n v="1"/>
    <n v="1"/>
    <n v="0"/>
    <n v="0"/>
    <n v="0"/>
  </r>
  <r>
    <s v="No"/>
    <s v="Travel_Rarely"/>
    <x v="0"/>
    <s v="Current Employees"/>
    <x v="1"/>
    <x v="4"/>
    <x v="464"/>
    <x v="464"/>
    <x v="0"/>
    <x v="3"/>
    <x v="0"/>
    <s v="No"/>
    <s v="Y"/>
    <n v="3"/>
    <n v="-2"/>
    <n v="0"/>
    <x v="2"/>
    <x v="1"/>
    <m/>
    <n v="0"/>
    <n v="1"/>
    <n v="799"/>
    <n v="1"/>
    <x v="3"/>
    <x v="0"/>
    <n v="4"/>
    <n v="59"/>
    <n v="3"/>
    <n v="3"/>
    <x v="0"/>
    <n v="7491"/>
    <n v="23848"/>
    <n v="4"/>
    <n v="17"/>
    <n v="3"/>
    <n v="4"/>
    <n v="80"/>
    <n v="0"/>
    <n v="12"/>
    <n v="4"/>
    <n v="6"/>
    <n v="5"/>
    <n v="1"/>
    <n v="2"/>
  </r>
  <r>
    <s v="No"/>
    <s v="Travel_Frequently"/>
    <x v="1"/>
    <s v="Current Employees"/>
    <x v="1"/>
    <x v="2"/>
    <x v="465"/>
    <x v="465"/>
    <x v="0"/>
    <x v="4"/>
    <x v="1"/>
    <s v="No"/>
    <s v="Y"/>
    <n v="3"/>
    <n v="-2"/>
    <n v="0"/>
    <x v="21"/>
    <x v="1"/>
    <m/>
    <n v="0"/>
    <n v="1"/>
    <n v="1034"/>
    <n v="18"/>
    <x v="1"/>
    <x v="0"/>
    <n v="1"/>
    <n v="86"/>
    <n v="3"/>
    <n v="3"/>
    <x v="2"/>
    <n v="10527"/>
    <n v="8984"/>
    <n v="5"/>
    <n v="11"/>
    <n v="3"/>
    <n v="4"/>
    <n v="80"/>
    <n v="0"/>
    <n v="28"/>
    <n v="2"/>
    <n v="2"/>
    <n v="2"/>
    <n v="1"/>
    <n v="2"/>
  </r>
  <r>
    <s v="No"/>
    <s v="Travel_Rarely"/>
    <x v="0"/>
    <s v="Current Employees"/>
    <x v="0"/>
    <x v="0"/>
    <x v="466"/>
    <x v="466"/>
    <x v="0"/>
    <x v="5"/>
    <x v="1"/>
    <s v="No"/>
    <s v="Y"/>
    <n v="2"/>
    <n v="-2"/>
    <n v="0"/>
    <x v="0"/>
    <x v="1"/>
    <m/>
    <n v="0"/>
    <n v="1"/>
    <n v="1276"/>
    <n v="2"/>
    <x v="4"/>
    <x v="0"/>
    <n v="2"/>
    <n v="91"/>
    <n v="3"/>
    <n v="4"/>
    <x v="1"/>
    <n v="16595"/>
    <n v="5626"/>
    <n v="7"/>
    <n v="16"/>
    <n v="3"/>
    <n v="2"/>
    <n v="80"/>
    <n v="1"/>
    <n v="22"/>
    <n v="3"/>
    <n v="18"/>
    <n v="16"/>
    <n v="11"/>
    <n v="8"/>
  </r>
  <r>
    <s v="No"/>
    <s v="Non-Travel"/>
    <x v="0"/>
    <s v="Current Employees"/>
    <x v="0"/>
    <x v="2"/>
    <x v="467"/>
    <x v="467"/>
    <x v="1"/>
    <x v="0"/>
    <x v="2"/>
    <s v="No"/>
    <s v="Y"/>
    <n v="6"/>
    <n v="-2"/>
    <n v="0"/>
    <x v="2"/>
    <x v="1"/>
    <m/>
    <n v="0"/>
    <n v="1"/>
    <n v="142"/>
    <n v="9"/>
    <x v="2"/>
    <x v="0"/>
    <n v="1"/>
    <n v="69"/>
    <n v="3"/>
    <n v="3"/>
    <x v="2"/>
    <n v="8834"/>
    <n v="24666"/>
    <n v="1"/>
    <n v="13"/>
    <n v="3"/>
    <n v="4"/>
    <n v="80"/>
    <n v="1"/>
    <n v="9"/>
    <n v="3"/>
    <n v="9"/>
    <n v="5"/>
    <n v="7"/>
    <n v="7"/>
  </r>
  <r>
    <s v="No"/>
    <s v="Travel_Rarely"/>
    <x v="1"/>
    <s v="Current Employees"/>
    <x v="1"/>
    <x v="4"/>
    <x v="468"/>
    <x v="468"/>
    <x v="1"/>
    <x v="1"/>
    <x v="2"/>
    <s v="Yes"/>
    <s v="Y"/>
    <n v="3"/>
    <n v="-2"/>
    <n v="0"/>
    <x v="39"/>
    <x v="1"/>
    <m/>
    <n v="0"/>
    <n v="1"/>
    <n v="956"/>
    <n v="6"/>
    <x v="0"/>
    <x v="0"/>
    <n v="4"/>
    <n v="78"/>
    <n v="3"/>
    <n v="2"/>
    <x v="0"/>
    <n v="5577"/>
    <n v="22087"/>
    <n v="3"/>
    <n v="12"/>
    <n v="3"/>
    <n v="2"/>
    <n v="80"/>
    <n v="2"/>
    <n v="18"/>
    <n v="3"/>
    <n v="10"/>
    <n v="9"/>
    <n v="6"/>
    <n v="9"/>
  </r>
  <r>
    <s v="Yes"/>
    <s v="Non-Travel"/>
    <x v="2"/>
    <s v="Ex-Employees"/>
    <x v="0"/>
    <x v="1"/>
    <x v="469"/>
    <x v="469"/>
    <x v="1"/>
    <x v="0"/>
    <x v="1"/>
    <s v="No"/>
    <s v="Y"/>
    <n v="2"/>
    <n v="-2"/>
    <n v="0"/>
    <x v="5"/>
    <x v="0"/>
    <n v="1"/>
    <n v="1"/>
    <n v="0"/>
    <n v="1474"/>
    <n v="11"/>
    <x v="2"/>
    <x v="0"/>
    <n v="4"/>
    <n v="60"/>
    <n v="4"/>
    <n v="2"/>
    <x v="2"/>
    <n v="4707"/>
    <n v="23914"/>
    <n v="8"/>
    <n v="12"/>
    <n v="3"/>
    <n v="4"/>
    <n v="80"/>
    <n v="0"/>
    <n v="6"/>
    <n v="3"/>
    <n v="4"/>
    <n v="2"/>
    <n v="1"/>
    <n v="2"/>
  </r>
  <r>
    <s v="No"/>
    <s v="Travel_Frequently"/>
    <x v="4"/>
    <s v="Current Employees"/>
    <x v="0"/>
    <x v="2"/>
    <x v="470"/>
    <x v="470"/>
    <x v="1"/>
    <x v="6"/>
    <x v="1"/>
    <s v="No"/>
    <s v="Y"/>
    <n v="3"/>
    <n v="-2"/>
    <n v="0"/>
    <x v="17"/>
    <x v="1"/>
    <m/>
    <n v="0"/>
    <n v="1"/>
    <n v="535"/>
    <n v="24"/>
    <x v="3"/>
    <x v="0"/>
    <n v="4"/>
    <n v="38"/>
    <n v="3"/>
    <n v="1"/>
    <x v="0"/>
    <n v="2400"/>
    <n v="5530"/>
    <n v="0"/>
    <n v="13"/>
    <n v="3"/>
    <n v="3"/>
    <n v="80"/>
    <n v="2"/>
    <n v="3"/>
    <n v="3"/>
    <n v="2"/>
    <n v="2"/>
    <n v="2"/>
    <n v="1"/>
  </r>
  <r>
    <s v="No"/>
    <s v="Travel_Rarely"/>
    <x v="0"/>
    <s v="Current Employees"/>
    <x v="1"/>
    <x v="2"/>
    <x v="471"/>
    <x v="471"/>
    <x v="0"/>
    <x v="4"/>
    <x v="1"/>
    <s v="No"/>
    <s v="Y"/>
    <n v="4"/>
    <n v="-2"/>
    <n v="0"/>
    <x v="8"/>
    <x v="1"/>
    <m/>
    <n v="0"/>
    <n v="1"/>
    <n v="1495"/>
    <n v="10"/>
    <x v="3"/>
    <x v="0"/>
    <n v="3"/>
    <n v="76"/>
    <n v="3"/>
    <n v="2"/>
    <x v="2"/>
    <n v="9824"/>
    <n v="22174"/>
    <n v="3"/>
    <n v="19"/>
    <n v="3"/>
    <n v="3"/>
    <n v="80"/>
    <n v="1"/>
    <n v="18"/>
    <n v="3"/>
    <n v="1"/>
    <n v="0"/>
    <n v="0"/>
    <n v="0"/>
  </r>
  <r>
    <s v="No"/>
    <s v="Travel_Rarely"/>
    <x v="0"/>
    <s v="Current Employees"/>
    <x v="1"/>
    <x v="0"/>
    <x v="472"/>
    <x v="472"/>
    <x v="0"/>
    <x v="3"/>
    <x v="1"/>
    <s v="No"/>
    <s v="Y"/>
    <n v="2"/>
    <n v="-2"/>
    <n v="0"/>
    <x v="2"/>
    <x v="1"/>
    <m/>
    <n v="0"/>
    <n v="1"/>
    <n v="446"/>
    <n v="1"/>
    <x v="2"/>
    <x v="0"/>
    <n v="2"/>
    <n v="65"/>
    <n v="3"/>
    <n v="2"/>
    <x v="1"/>
    <n v="6447"/>
    <n v="15701"/>
    <n v="6"/>
    <n v="12"/>
    <n v="3"/>
    <n v="2"/>
    <n v="80"/>
    <n v="1"/>
    <n v="8"/>
    <n v="2"/>
    <n v="6"/>
    <n v="5"/>
    <n v="4"/>
    <n v="3"/>
  </r>
  <r>
    <s v="No"/>
    <s v="Travel_Rarely"/>
    <x v="1"/>
    <s v="Current Employees"/>
    <x v="1"/>
    <x v="0"/>
    <x v="473"/>
    <x v="473"/>
    <x v="1"/>
    <x v="7"/>
    <x v="2"/>
    <s v="Yes"/>
    <s v="Y"/>
    <n v="5"/>
    <n v="-2"/>
    <n v="0"/>
    <x v="1"/>
    <x v="1"/>
    <m/>
    <n v="0"/>
    <n v="1"/>
    <n v="1245"/>
    <n v="18"/>
    <x v="2"/>
    <x v="0"/>
    <n v="4"/>
    <n v="58"/>
    <n v="2"/>
    <n v="5"/>
    <x v="1"/>
    <n v="19502"/>
    <n v="2125"/>
    <n v="1"/>
    <n v="17"/>
    <n v="3"/>
    <n v="3"/>
    <n v="80"/>
    <n v="1"/>
    <n v="31"/>
    <n v="3"/>
    <n v="31"/>
    <n v="9"/>
    <n v="0"/>
    <n v="9"/>
  </r>
  <r>
    <s v="No"/>
    <s v="Travel_Rarely"/>
    <x v="4"/>
    <s v="Current Employees"/>
    <x v="1"/>
    <x v="2"/>
    <x v="474"/>
    <x v="474"/>
    <x v="1"/>
    <x v="1"/>
    <x v="1"/>
    <s v="Yes"/>
    <s v="Y"/>
    <n v="3"/>
    <n v="-2"/>
    <n v="0"/>
    <x v="17"/>
    <x v="1"/>
    <m/>
    <n v="0"/>
    <n v="1"/>
    <n v="691"/>
    <n v="23"/>
    <x v="3"/>
    <x v="0"/>
    <n v="2"/>
    <n v="89"/>
    <n v="4"/>
    <n v="1"/>
    <x v="0"/>
    <n v="2725"/>
    <n v="21630"/>
    <n v="1"/>
    <n v="11"/>
    <n v="3"/>
    <n v="2"/>
    <n v="80"/>
    <n v="2"/>
    <n v="6"/>
    <n v="3"/>
    <n v="6"/>
    <n v="5"/>
    <n v="1"/>
    <n v="4"/>
  </r>
  <r>
    <s v="No"/>
    <s v="Travel_Rarely"/>
    <x v="2"/>
    <s v="Current Employees"/>
    <x v="0"/>
    <x v="3"/>
    <x v="475"/>
    <x v="475"/>
    <x v="1"/>
    <x v="0"/>
    <x v="1"/>
    <s v="No"/>
    <s v="Y"/>
    <n v="5"/>
    <n v="-2"/>
    <n v="0"/>
    <x v="25"/>
    <x v="1"/>
    <m/>
    <n v="0"/>
    <n v="1"/>
    <n v="703"/>
    <n v="28"/>
    <x v="0"/>
    <x v="0"/>
    <n v="1"/>
    <n v="66"/>
    <n v="3"/>
    <n v="2"/>
    <x v="3"/>
    <n v="6272"/>
    <n v="7428"/>
    <n v="1"/>
    <n v="20"/>
    <n v="4"/>
    <n v="4"/>
    <n v="80"/>
    <n v="2"/>
    <n v="6"/>
    <n v="4"/>
    <n v="5"/>
    <n v="3"/>
    <n v="1"/>
    <n v="4"/>
  </r>
  <r>
    <s v="No"/>
    <s v="Travel_Rarely"/>
    <x v="4"/>
    <s v="Current Employees"/>
    <x v="1"/>
    <x v="1"/>
    <x v="476"/>
    <x v="476"/>
    <x v="1"/>
    <x v="2"/>
    <x v="1"/>
    <s v="No"/>
    <s v="Y"/>
    <n v="2"/>
    <n v="-2"/>
    <n v="0"/>
    <x v="17"/>
    <x v="1"/>
    <m/>
    <n v="0"/>
    <n v="1"/>
    <n v="823"/>
    <n v="17"/>
    <x v="0"/>
    <x v="0"/>
    <n v="4"/>
    <n v="94"/>
    <n v="2"/>
    <n v="1"/>
    <x v="2"/>
    <n v="2127"/>
    <n v="9100"/>
    <n v="1"/>
    <n v="21"/>
    <n v="4"/>
    <n v="4"/>
    <n v="80"/>
    <n v="1"/>
    <n v="1"/>
    <n v="3"/>
    <n v="1"/>
    <n v="0"/>
    <n v="0"/>
    <n v="0"/>
  </r>
  <r>
    <s v="No"/>
    <s v="Travel_Frequently"/>
    <x v="1"/>
    <s v="Current Employees"/>
    <x v="2"/>
    <x v="2"/>
    <x v="477"/>
    <x v="477"/>
    <x v="1"/>
    <x v="5"/>
    <x v="1"/>
    <s v="No"/>
    <s v="Y"/>
    <n v="2"/>
    <n v="-2"/>
    <n v="0"/>
    <x v="24"/>
    <x v="1"/>
    <m/>
    <n v="0"/>
    <n v="1"/>
    <n v="1246"/>
    <n v="3"/>
    <x v="3"/>
    <x v="0"/>
    <n v="1"/>
    <n v="99"/>
    <n v="3"/>
    <n v="5"/>
    <x v="2"/>
    <n v="18200"/>
    <n v="7999"/>
    <n v="1"/>
    <n v="11"/>
    <n v="3"/>
    <n v="3"/>
    <n v="80"/>
    <n v="1"/>
    <n v="32"/>
    <n v="3"/>
    <n v="32"/>
    <n v="5"/>
    <n v="10"/>
    <n v="7"/>
  </r>
  <r>
    <s v="No"/>
    <s v="Travel_Rarely"/>
    <x v="2"/>
    <s v="Current Employees"/>
    <x v="0"/>
    <x v="2"/>
    <x v="478"/>
    <x v="478"/>
    <x v="1"/>
    <x v="6"/>
    <x v="1"/>
    <s v="No"/>
    <s v="Y"/>
    <n v="1"/>
    <n v="-2"/>
    <n v="0"/>
    <x v="36"/>
    <x v="1"/>
    <m/>
    <n v="0"/>
    <n v="1"/>
    <n v="622"/>
    <n v="13"/>
    <x v="1"/>
    <x v="0"/>
    <n v="2"/>
    <n v="40"/>
    <n v="3"/>
    <n v="1"/>
    <x v="2"/>
    <n v="2096"/>
    <n v="26376"/>
    <n v="1"/>
    <n v="11"/>
    <n v="3"/>
    <n v="3"/>
    <n v="80"/>
    <n v="0"/>
    <n v="7"/>
    <n v="3"/>
    <n v="7"/>
    <n v="4"/>
    <n v="0"/>
    <n v="6"/>
  </r>
  <r>
    <s v="Yes"/>
    <s v="Travel_Frequently"/>
    <x v="4"/>
    <s v="Ex-Employees"/>
    <x v="1"/>
    <x v="0"/>
    <x v="479"/>
    <x v="479"/>
    <x v="0"/>
    <x v="2"/>
    <x v="1"/>
    <s v="Yes"/>
    <s v="Y"/>
    <n v="4"/>
    <n v="-2"/>
    <n v="0"/>
    <x v="17"/>
    <x v="0"/>
    <n v="1"/>
    <n v="1"/>
    <n v="0"/>
    <n v="1287"/>
    <n v="7"/>
    <x v="3"/>
    <x v="0"/>
    <n v="1"/>
    <n v="55"/>
    <n v="3"/>
    <n v="1"/>
    <x v="1"/>
    <n v="2886"/>
    <n v="14168"/>
    <n v="1"/>
    <n v="16"/>
    <n v="3"/>
    <n v="4"/>
    <n v="80"/>
    <n v="1"/>
    <n v="6"/>
    <n v="3"/>
    <n v="6"/>
    <n v="3"/>
    <n v="1"/>
    <n v="2"/>
  </r>
  <r>
    <s v="Yes"/>
    <s v="Travel_Frequently"/>
    <x v="2"/>
    <s v="Ex-Employees"/>
    <x v="0"/>
    <x v="0"/>
    <x v="480"/>
    <x v="480"/>
    <x v="1"/>
    <x v="6"/>
    <x v="1"/>
    <s v="No"/>
    <s v="Y"/>
    <n v="2"/>
    <n v="-2"/>
    <n v="0"/>
    <x v="7"/>
    <x v="0"/>
    <n v="1"/>
    <n v="1"/>
    <n v="0"/>
    <n v="448"/>
    <n v="12"/>
    <x v="2"/>
    <x v="0"/>
    <n v="2"/>
    <n v="74"/>
    <n v="2"/>
    <n v="1"/>
    <x v="1"/>
    <n v="2033"/>
    <n v="14470"/>
    <n v="1"/>
    <n v="18"/>
    <n v="3"/>
    <n v="3"/>
    <n v="80"/>
    <n v="1"/>
    <n v="1"/>
    <n v="4"/>
    <n v="1"/>
    <n v="0"/>
    <n v="0"/>
    <n v="0"/>
  </r>
  <r>
    <s v="No"/>
    <s v="Travel_Rarely"/>
    <x v="2"/>
    <s v="Current Employees"/>
    <x v="1"/>
    <x v="0"/>
    <x v="481"/>
    <x v="481"/>
    <x v="1"/>
    <x v="1"/>
    <x v="1"/>
    <s v="Yes"/>
    <s v="Y"/>
    <n v="3"/>
    <n v="-2"/>
    <n v="0"/>
    <x v="13"/>
    <x v="1"/>
    <m/>
    <n v="0"/>
    <n v="1"/>
    <n v="254"/>
    <n v="1"/>
    <x v="0"/>
    <x v="0"/>
    <n v="2"/>
    <n v="83"/>
    <n v="2"/>
    <n v="1"/>
    <x v="1"/>
    <n v="3622"/>
    <n v="22794"/>
    <n v="1"/>
    <n v="13"/>
    <n v="3"/>
    <n v="4"/>
    <n v="80"/>
    <n v="1"/>
    <n v="6"/>
    <n v="3"/>
    <n v="6"/>
    <n v="5"/>
    <n v="1"/>
    <n v="3"/>
  </r>
  <r>
    <s v="Yes"/>
    <s v="Travel_Rarely"/>
    <x v="2"/>
    <s v="Ex-Employees"/>
    <x v="0"/>
    <x v="2"/>
    <x v="482"/>
    <x v="482"/>
    <x v="1"/>
    <x v="0"/>
    <x v="2"/>
    <s v="No"/>
    <s v="Y"/>
    <n v="2"/>
    <n v="-2"/>
    <n v="0"/>
    <x v="12"/>
    <x v="0"/>
    <n v="1"/>
    <n v="1"/>
    <n v="0"/>
    <n v="1365"/>
    <n v="13"/>
    <x v="2"/>
    <x v="0"/>
    <n v="2"/>
    <n v="46"/>
    <n v="3"/>
    <n v="2"/>
    <x v="2"/>
    <n v="4233"/>
    <n v="11512"/>
    <n v="2"/>
    <n v="17"/>
    <n v="3"/>
    <n v="3"/>
    <n v="80"/>
    <n v="0"/>
    <n v="9"/>
    <n v="1"/>
    <n v="3"/>
    <n v="1"/>
    <n v="1"/>
    <n v="2"/>
  </r>
  <r>
    <s v="No"/>
    <s v="Travel_Rarely"/>
    <x v="0"/>
    <s v="Current Employees"/>
    <x v="1"/>
    <x v="1"/>
    <x v="483"/>
    <x v="483"/>
    <x v="1"/>
    <x v="2"/>
    <x v="0"/>
    <s v="No"/>
    <s v="Y"/>
    <n v="3"/>
    <n v="-2"/>
    <n v="0"/>
    <x v="10"/>
    <x v="1"/>
    <m/>
    <n v="0"/>
    <n v="1"/>
    <n v="538"/>
    <n v="25"/>
    <x v="0"/>
    <x v="0"/>
    <n v="1"/>
    <n v="54"/>
    <n v="2"/>
    <n v="2"/>
    <x v="0"/>
    <n v="3681"/>
    <n v="14004"/>
    <n v="4"/>
    <n v="14"/>
    <n v="3"/>
    <n v="4"/>
    <n v="80"/>
    <n v="0"/>
    <n v="9"/>
    <n v="3"/>
    <n v="3"/>
    <n v="2"/>
    <n v="0"/>
    <n v="2"/>
  </r>
  <r>
    <s v="No"/>
    <s v="Travel_Rarely"/>
    <x v="2"/>
    <s v="Current Employees"/>
    <x v="0"/>
    <x v="2"/>
    <x v="484"/>
    <x v="484"/>
    <x v="1"/>
    <x v="0"/>
    <x v="2"/>
    <s v="No"/>
    <s v="Y"/>
    <n v="4"/>
    <n v="-2"/>
    <n v="0"/>
    <x v="12"/>
    <x v="1"/>
    <m/>
    <n v="0"/>
    <n v="1"/>
    <n v="525"/>
    <n v="6"/>
    <x v="2"/>
    <x v="0"/>
    <n v="1"/>
    <n v="66"/>
    <n v="4"/>
    <n v="2"/>
    <x v="0"/>
    <n v="5460"/>
    <n v="6219"/>
    <n v="4"/>
    <n v="22"/>
    <n v="4"/>
    <n v="4"/>
    <n v="80"/>
    <n v="2"/>
    <n v="13"/>
    <n v="4"/>
    <n v="7"/>
    <n v="7"/>
    <n v="5"/>
    <n v="7"/>
  </r>
  <r>
    <s v="No"/>
    <s v="Travel_Rarely"/>
    <x v="2"/>
    <s v="Current Employees"/>
    <x v="1"/>
    <x v="2"/>
    <x v="485"/>
    <x v="485"/>
    <x v="0"/>
    <x v="1"/>
    <x v="2"/>
    <s v="No"/>
    <s v="Y"/>
    <n v="5"/>
    <n v="-2"/>
    <n v="0"/>
    <x v="4"/>
    <x v="1"/>
    <m/>
    <n v="0"/>
    <n v="1"/>
    <n v="798"/>
    <n v="6"/>
    <x v="2"/>
    <x v="0"/>
    <n v="1"/>
    <n v="66"/>
    <n v="2"/>
    <n v="1"/>
    <x v="2"/>
    <n v="2187"/>
    <n v="5013"/>
    <n v="0"/>
    <n v="12"/>
    <n v="3"/>
    <n v="3"/>
    <n v="80"/>
    <n v="2"/>
    <n v="6"/>
    <n v="2"/>
    <n v="5"/>
    <n v="3"/>
    <n v="0"/>
    <n v="3"/>
  </r>
  <r>
    <s v="No"/>
    <s v="Travel_Rarely"/>
    <x v="0"/>
    <s v="Current Employees"/>
    <x v="0"/>
    <x v="3"/>
    <x v="486"/>
    <x v="486"/>
    <x v="1"/>
    <x v="0"/>
    <x v="1"/>
    <s v="Yes"/>
    <s v="Y"/>
    <n v="3"/>
    <n v="-2"/>
    <n v="0"/>
    <x v="2"/>
    <x v="1"/>
    <m/>
    <n v="0"/>
    <n v="1"/>
    <n v="558"/>
    <n v="2"/>
    <x v="3"/>
    <x v="0"/>
    <n v="4"/>
    <n v="75"/>
    <n v="3"/>
    <n v="2"/>
    <x v="3"/>
    <n v="9602"/>
    <n v="3010"/>
    <n v="4"/>
    <n v="11"/>
    <n v="3"/>
    <n v="3"/>
    <n v="80"/>
    <n v="1"/>
    <n v="17"/>
    <n v="2"/>
    <n v="3"/>
    <n v="0"/>
    <n v="1"/>
    <n v="0"/>
  </r>
  <r>
    <s v="No"/>
    <s v="Travel_Rarely"/>
    <x v="4"/>
    <s v="Current Employees"/>
    <x v="1"/>
    <x v="0"/>
    <x v="487"/>
    <x v="487"/>
    <x v="0"/>
    <x v="1"/>
    <x v="0"/>
    <s v="No"/>
    <s v="Y"/>
    <n v="0"/>
    <n v="-2"/>
    <n v="0"/>
    <x v="35"/>
    <x v="1"/>
    <m/>
    <n v="0"/>
    <n v="1"/>
    <n v="959"/>
    <n v="1"/>
    <x v="3"/>
    <x v="0"/>
    <n v="4"/>
    <n v="83"/>
    <n v="2"/>
    <n v="1"/>
    <x v="1"/>
    <n v="2836"/>
    <n v="11757"/>
    <n v="1"/>
    <n v="13"/>
    <n v="3"/>
    <n v="4"/>
    <n v="80"/>
    <n v="0"/>
    <n v="1"/>
    <n v="4"/>
    <n v="1"/>
    <n v="0"/>
    <n v="0"/>
    <n v="0"/>
  </r>
  <r>
    <s v="No"/>
    <s v="Travel_Rarely"/>
    <x v="0"/>
    <s v="Current Employees"/>
    <x v="1"/>
    <x v="0"/>
    <x v="488"/>
    <x v="488"/>
    <x v="0"/>
    <x v="4"/>
    <x v="1"/>
    <s v="No"/>
    <s v="Y"/>
    <n v="4"/>
    <n v="-2"/>
    <n v="0"/>
    <x v="19"/>
    <x v="1"/>
    <m/>
    <n v="0"/>
    <n v="1"/>
    <n v="622"/>
    <n v="2"/>
    <x v="2"/>
    <x v="0"/>
    <n v="3"/>
    <n v="81"/>
    <n v="3"/>
    <n v="2"/>
    <x v="1"/>
    <n v="4089"/>
    <n v="5718"/>
    <n v="1"/>
    <n v="13"/>
    <n v="3"/>
    <n v="2"/>
    <n v="80"/>
    <n v="2"/>
    <n v="10"/>
    <n v="3"/>
    <n v="10"/>
    <n v="2"/>
    <n v="2"/>
    <n v="2"/>
  </r>
  <r>
    <s v="No"/>
    <s v="Travel_Rarely"/>
    <x v="0"/>
    <s v="Current Employees"/>
    <x v="1"/>
    <x v="1"/>
    <x v="489"/>
    <x v="489"/>
    <x v="1"/>
    <x v="7"/>
    <x v="2"/>
    <s v="Yes"/>
    <s v="Y"/>
    <n v="3"/>
    <n v="-2"/>
    <n v="0"/>
    <x v="23"/>
    <x v="1"/>
    <m/>
    <n v="0"/>
    <n v="1"/>
    <n v="782"/>
    <n v="6"/>
    <x v="2"/>
    <x v="0"/>
    <n v="2"/>
    <n v="50"/>
    <n v="2"/>
    <n v="4"/>
    <x v="0"/>
    <n v="16627"/>
    <n v="2671"/>
    <n v="4"/>
    <n v="14"/>
    <n v="3"/>
    <n v="3"/>
    <n v="80"/>
    <n v="1"/>
    <n v="21"/>
    <n v="2"/>
    <n v="1"/>
    <n v="0"/>
    <n v="0"/>
    <n v="0"/>
  </r>
  <r>
    <s v="No"/>
    <s v="Travel_Rarely"/>
    <x v="0"/>
    <s v="Current Employees"/>
    <x v="1"/>
    <x v="0"/>
    <x v="490"/>
    <x v="490"/>
    <x v="0"/>
    <x v="1"/>
    <x v="0"/>
    <s v="No"/>
    <s v="Y"/>
    <n v="3"/>
    <n v="-2"/>
    <n v="0"/>
    <x v="8"/>
    <x v="1"/>
    <m/>
    <n v="0"/>
    <n v="1"/>
    <n v="362"/>
    <n v="1"/>
    <x v="1"/>
    <x v="0"/>
    <n v="3"/>
    <n v="43"/>
    <n v="3"/>
    <n v="1"/>
    <x v="1"/>
    <n v="2619"/>
    <n v="14561"/>
    <n v="3"/>
    <n v="17"/>
    <n v="3"/>
    <n v="4"/>
    <n v="80"/>
    <n v="0"/>
    <n v="8"/>
    <n v="2"/>
    <n v="0"/>
    <n v="0"/>
    <n v="0"/>
    <n v="0"/>
  </r>
  <r>
    <s v="No"/>
    <s v="Travel_Frequently"/>
    <x v="0"/>
    <s v="Current Employees"/>
    <x v="1"/>
    <x v="2"/>
    <x v="491"/>
    <x v="491"/>
    <x v="1"/>
    <x v="2"/>
    <x v="2"/>
    <s v="Yes"/>
    <s v="Y"/>
    <n v="3"/>
    <n v="-2"/>
    <n v="0"/>
    <x v="23"/>
    <x v="1"/>
    <m/>
    <n v="0"/>
    <n v="1"/>
    <n v="1001"/>
    <n v="9"/>
    <x v="4"/>
    <x v="0"/>
    <n v="4"/>
    <n v="72"/>
    <n v="3"/>
    <n v="2"/>
    <x v="2"/>
    <n v="5679"/>
    <n v="19627"/>
    <n v="3"/>
    <n v="13"/>
    <n v="3"/>
    <n v="2"/>
    <n v="80"/>
    <n v="1"/>
    <n v="10"/>
    <n v="3"/>
    <n v="8"/>
    <n v="7"/>
    <n v="4"/>
    <n v="7"/>
  </r>
  <r>
    <s v="No"/>
    <s v="Travel_Rarely"/>
    <x v="1"/>
    <s v="Current Employees"/>
    <x v="1"/>
    <x v="0"/>
    <x v="492"/>
    <x v="492"/>
    <x v="0"/>
    <x v="5"/>
    <x v="1"/>
    <s v="No"/>
    <s v="Y"/>
    <n v="3"/>
    <n v="-2"/>
    <n v="0"/>
    <x v="26"/>
    <x v="1"/>
    <m/>
    <n v="0"/>
    <n v="1"/>
    <n v="1236"/>
    <n v="1"/>
    <x v="2"/>
    <x v="0"/>
    <n v="4"/>
    <n v="40"/>
    <n v="2"/>
    <n v="4"/>
    <x v="1"/>
    <n v="15402"/>
    <n v="17997"/>
    <n v="7"/>
    <n v="11"/>
    <n v="3"/>
    <n v="1"/>
    <n v="80"/>
    <n v="1"/>
    <n v="21"/>
    <n v="1"/>
    <n v="3"/>
    <n v="2"/>
    <n v="0"/>
    <n v="2"/>
  </r>
  <r>
    <s v="No"/>
    <s v="Travel_Rarely"/>
    <x v="0"/>
    <s v="Current Employees"/>
    <x v="2"/>
    <x v="0"/>
    <x v="493"/>
    <x v="493"/>
    <x v="0"/>
    <x v="8"/>
    <x v="0"/>
    <s v="No"/>
    <s v="Y"/>
    <n v="1"/>
    <n v="-2"/>
    <n v="0"/>
    <x v="20"/>
    <x v="1"/>
    <m/>
    <n v="0"/>
    <n v="1"/>
    <n v="1112"/>
    <n v="1"/>
    <x v="2"/>
    <x v="0"/>
    <n v="1"/>
    <n v="50"/>
    <n v="2"/>
    <n v="2"/>
    <x v="1"/>
    <n v="5985"/>
    <n v="26894"/>
    <n v="4"/>
    <n v="11"/>
    <n v="3"/>
    <n v="2"/>
    <n v="80"/>
    <n v="0"/>
    <n v="10"/>
    <n v="4"/>
    <n v="2"/>
    <n v="2"/>
    <n v="0"/>
    <n v="2"/>
  </r>
  <r>
    <s v="No"/>
    <s v="Travel_Rarely"/>
    <x v="2"/>
    <s v="Current Employees"/>
    <x v="0"/>
    <x v="4"/>
    <x v="494"/>
    <x v="494"/>
    <x v="0"/>
    <x v="6"/>
    <x v="2"/>
    <s v="Yes"/>
    <s v="Y"/>
    <n v="3"/>
    <n v="-2"/>
    <n v="0"/>
    <x v="13"/>
    <x v="1"/>
    <m/>
    <n v="0"/>
    <n v="1"/>
    <n v="204"/>
    <n v="14"/>
    <x v="3"/>
    <x v="0"/>
    <n v="4"/>
    <n v="31"/>
    <n v="3"/>
    <n v="1"/>
    <x v="0"/>
    <n v="2579"/>
    <n v="2912"/>
    <n v="1"/>
    <n v="18"/>
    <n v="3"/>
    <n v="4"/>
    <n v="80"/>
    <n v="2"/>
    <n v="8"/>
    <n v="3"/>
    <n v="8"/>
    <n v="2"/>
    <n v="0"/>
    <n v="6"/>
  </r>
  <r>
    <s v="Yes"/>
    <s v="Travel_Rarely"/>
    <x v="2"/>
    <s v="Ex-Employees"/>
    <x v="0"/>
    <x v="3"/>
    <x v="495"/>
    <x v="495"/>
    <x v="1"/>
    <x v="6"/>
    <x v="2"/>
    <s v="No"/>
    <s v="Y"/>
    <n v="3"/>
    <n v="-2"/>
    <n v="0"/>
    <x v="4"/>
    <x v="0"/>
    <n v="1"/>
    <n v="1"/>
    <n v="0"/>
    <n v="1420"/>
    <n v="2"/>
    <x v="1"/>
    <x v="0"/>
    <n v="3"/>
    <n v="85"/>
    <n v="3"/>
    <n v="1"/>
    <x v="3"/>
    <n v="3041"/>
    <n v="16346"/>
    <n v="0"/>
    <n v="11"/>
    <n v="3"/>
    <n v="2"/>
    <n v="80"/>
    <n v="1"/>
    <n v="5"/>
    <n v="3"/>
    <n v="4"/>
    <n v="3"/>
    <n v="0"/>
    <n v="2"/>
  </r>
  <r>
    <s v="No"/>
    <s v="Travel_Rarely"/>
    <x v="4"/>
    <s v="Current Employees"/>
    <x v="0"/>
    <x v="4"/>
    <x v="496"/>
    <x v="496"/>
    <x v="1"/>
    <x v="6"/>
    <x v="0"/>
    <s v="No"/>
    <s v="Y"/>
    <n v="2"/>
    <n v="-2"/>
    <n v="0"/>
    <x v="18"/>
    <x v="1"/>
    <m/>
    <n v="0"/>
    <n v="1"/>
    <n v="1343"/>
    <n v="22"/>
    <x v="1"/>
    <x v="0"/>
    <n v="4"/>
    <n v="49"/>
    <n v="3"/>
    <n v="1"/>
    <x v="0"/>
    <n v="3447"/>
    <n v="24444"/>
    <n v="1"/>
    <n v="11"/>
    <n v="3"/>
    <n v="3"/>
    <n v="80"/>
    <n v="0"/>
    <n v="3"/>
    <n v="3"/>
    <n v="3"/>
    <n v="2"/>
    <n v="1"/>
    <n v="2"/>
  </r>
  <r>
    <s v="No"/>
    <s v="Travel_Rarely"/>
    <x v="0"/>
    <s v="Current Employees"/>
    <x v="1"/>
    <x v="1"/>
    <x v="497"/>
    <x v="497"/>
    <x v="1"/>
    <x v="5"/>
    <x v="1"/>
    <s v="Yes"/>
    <s v="Y"/>
    <n v="2"/>
    <n v="-2"/>
    <n v="0"/>
    <x v="20"/>
    <x v="1"/>
    <m/>
    <n v="0"/>
    <n v="1"/>
    <n v="1315"/>
    <n v="3"/>
    <x v="2"/>
    <x v="0"/>
    <n v="4"/>
    <n v="35"/>
    <n v="3"/>
    <n v="5"/>
    <x v="0"/>
    <n v="19513"/>
    <n v="9358"/>
    <n v="4"/>
    <n v="12"/>
    <n v="3"/>
    <n v="1"/>
    <n v="80"/>
    <n v="1"/>
    <n v="26"/>
    <n v="4"/>
    <n v="2"/>
    <n v="2"/>
    <n v="0"/>
    <n v="1"/>
  </r>
  <r>
    <s v="No"/>
    <s v="Travel_Rarely"/>
    <x v="4"/>
    <s v="Current Employees"/>
    <x v="1"/>
    <x v="2"/>
    <x v="498"/>
    <x v="498"/>
    <x v="1"/>
    <x v="1"/>
    <x v="1"/>
    <s v="No"/>
    <s v="Y"/>
    <n v="3"/>
    <n v="-2"/>
    <n v="0"/>
    <x v="15"/>
    <x v="1"/>
    <m/>
    <n v="0"/>
    <n v="1"/>
    <n v="604"/>
    <n v="6"/>
    <x v="1"/>
    <x v="0"/>
    <n v="1"/>
    <n v="69"/>
    <n v="3"/>
    <n v="1"/>
    <x v="2"/>
    <n v="2773"/>
    <n v="12145"/>
    <n v="0"/>
    <n v="20"/>
    <n v="4"/>
    <n v="4"/>
    <n v="80"/>
    <n v="0"/>
    <n v="3"/>
    <n v="3"/>
    <n v="2"/>
    <n v="2"/>
    <n v="2"/>
    <n v="2"/>
  </r>
  <r>
    <s v="No"/>
    <s v="Travel_Rarely"/>
    <x v="2"/>
    <s v="Current Employees"/>
    <x v="0"/>
    <x v="3"/>
    <x v="499"/>
    <x v="499"/>
    <x v="1"/>
    <x v="0"/>
    <x v="2"/>
    <s v="No"/>
    <s v="Y"/>
    <n v="3"/>
    <n v="-2"/>
    <n v="0"/>
    <x v="3"/>
    <x v="1"/>
    <m/>
    <n v="0"/>
    <n v="1"/>
    <n v="1216"/>
    <n v="8"/>
    <x v="2"/>
    <x v="0"/>
    <n v="3"/>
    <n v="39"/>
    <n v="3"/>
    <n v="2"/>
    <x v="3"/>
    <n v="7104"/>
    <n v="20431"/>
    <n v="0"/>
    <n v="12"/>
    <n v="3"/>
    <n v="4"/>
    <n v="80"/>
    <n v="0"/>
    <n v="6"/>
    <n v="3"/>
    <n v="5"/>
    <n v="0"/>
    <n v="1"/>
    <n v="2"/>
  </r>
  <r>
    <s v="No"/>
    <s v="Travel_Rarely"/>
    <x v="2"/>
    <s v="Current Employees"/>
    <x v="1"/>
    <x v="0"/>
    <x v="500"/>
    <x v="500"/>
    <x v="0"/>
    <x v="1"/>
    <x v="1"/>
    <s v="Yes"/>
    <s v="Y"/>
    <n v="2"/>
    <n v="-2"/>
    <n v="0"/>
    <x v="5"/>
    <x v="1"/>
    <m/>
    <n v="0"/>
    <n v="1"/>
    <n v="646"/>
    <n v="9"/>
    <x v="2"/>
    <x v="0"/>
    <n v="1"/>
    <n v="92"/>
    <n v="3"/>
    <n v="2"/>
    <x v="1"/>
    <n v="6322"/>
    <n v="18089"/>
    <n v="1"/>
    <n v="12"/>
    <n v="3"/>
    <n v="4"/>
    <n v="80"/>
    <n v="1"/>
    <n v="6"/>
    <n v="2"/>
    <n v="6"/>
    <n v="4"/>
    <n v="0"/>
    <n v="5"/>
  </r>
  <r>
    <s v="No"/>
    <s v="Travel_Frequently"/>
    <x v="2"/>
    <s v="Current Employees"/>
    <x v="1"/>
    <x v="2"/>
    <x v="501"/>
    <x v="501"/>
    <x v="0"/>
    <x v="1"/>
    <x v="2"/>
    <s v="No"/>
    <s v="Y"/>
    <n v="2"/>
    <n v="-2"/>
    <n v="0"/>
    <x v="7"/>
    <x v="1"/>
    <m/>
    <n v="0"/>
    <n v="1"/>
    <n v="160"/>
    <n v="3"/>
    <x v="3"/>
    <x v="0"/>
    <n v="3"/>
    <n v="71"/>
    <n v="3"/>
    <n v="1"/>
    <x v="2"/>
    <n v="2083"/>
    <n v="22653"/>
    <n v="1"/>
    <n v="20"/>
    <n v="4"/>
    <n v="3"/>
    <n v="80"/>
    <n v="1"/>
    <n v="1"/>
    <n v="3"/>
    <n v="1"/>
    <n v="0"/>
    <n v="0"/>
    <n v="0"/>
  </r>
  <r>
    <s v="No"/>
    <s v="Travel_Rarely"/>
    <x v="1"/>
    <s v="Current Employees"/>
    <x v="0"/>
    <x v="2"/>
    <x v="502"/>
    <x v="502"/>
    <x v="0"/>
    <x v="0"/>
    <x v="0"/>
    <s v="No"/>
    <s v="Y"/>
    <n v="2"/>
    <n v="-2"/>
    <n v="0"/>
    <x v="16"/>
    <x v="1"/>
    <m/>
    <n v="0"/>
    <n v="1"/>
    <n v="238"/>
    <n v="1"/>
    <x v="1"/>
    <x v="0"/>
    <n v="4"/>
    <n v="34"/>
    <n v="3"/>
    <n v="2"/>
    <x v="2"/>
    <n v="8381"/>
    <n v="7507"/>
    <n v="7"/>
    <n v="20"/>
    <n v="4"/>
    <n v="4"/>
    <n v="80"/>
    <n v="0"/>
    <n v="18"/>
    <n v="4"/>
    <n v="14"/>
    <n v="7"/>
    <n v="8"/>
    <n v="10"/>
  </r>
  <r>
    <s v="No"/>
    <s v="Travel_Rarely"/>
    <x v="2"/>
    <s v="Current Employees"/>
    <x v="1"/>
    <x v="0"/>
    <x v="503"/>
    <x v="503"/>
    <x v="1"/>
    <x v="1"/>
    <x v="1"/>
    <s v="No"/>
    <s v="Y"/>
    <n v="4"/>
    <n v="-2"/>
    <n v="0"/>
    <x v="13"/>
    <x v="1"/>
    <m/>
    <n v="0"/>
    <n v="1"/>
    <n v="1397"/>
    <n v="1"/>
    <x v="4"/>
    <x v="0"/>
    <n v="2"/>
    <n v="42"/>
    <n v="3"/>
    <n v="1"/>
    <x v="1"/>
    <n v="2691"/>
    <n v="7660"/>
    <n v="1"/>
    <n v="12"/>
    <n v="3"/>
    <n v="4"/>
    <n v="80"/>
    <n v="1"/>
    <n v="10"/>
    <n v="2"/>
    <n v="10"/>
    <n v="9"/>
    <n v="8"/>
    <n v="8"/>
  </r>
  <r>
    <s v="Yes"/>
    <s v="Travel_Frequently"/>
    <x v="1"/>
    <s v="Ex-Employees"/>
    <x v="0"/>
    <x v="0"/>
    <x v="504"/>
    <x v="504"/>
    <x v="0"/>
    <x v="0"/>
    <x v="1"/>
    <s v="No"/>
    <s v="Y"/>
    <n v="4"/>
    <n v="-2"/>
    <n v="0"/>
    <x v="28"/>
    <x v="0"/>
    <n v="1"/>
    <n v="1"/>
    <n v="0"/>
    <n v="306"/>
    <n v="26"/>
    <x v="2"/>
    <x v="0"/>
    <n v="1"/>
    <n v="100"/>
    <n v="3"/>
    <n v="2"/>
    <x v="1"/>
    <n v="4286"/>
    <n v="5630"/>
    <n v="2"/>
    <n v="14"/>
    <n v="3"/>
    <n v="4"/>
    <n v="80"/>
    <n v="2"/>
    <n v="5"/>
    <n v="3"/>
    <n v="1"/>
    <n v="1"/>
    <n v="0"/>
    <n v="0"/>
  </r>
  <r>
    <s v="No"/>
    <s v="Travel_Rarely"/>
    <x v="2"/>
    <s v="Current Employees"/>
    <x v="1"/>
    <x v="0"/>
    <x v="505"/>
    <x v="505"/>
    <x v="0"/>
    <x v="2"/>
    <x v="1"/>
    <s v="Yes"/>
    <s v="Y"/>
    <n v="2"/>
    <n v="-2"/>
    <n v="0"/>
    <x v="25"/>
    <x v="1"/>
    <m/>
    <n v="0"/>
    <n v="1"/>
    <n v="991"/>
    <n v="6"/>
    <x v="3"/>
    <x v="0"/>
    <n v="3"/>
    <n v="71"/>
    <n v="3"/>
    <n v="1"/>
    <x v="1"/>
    <n v="2659"/>
    <n v="17759"/>
    <n v="1"/>
    <n v="13"/>
    <n v="3"/>
    <n v="3"/>
    <n v="80"/>
    <n v="1"/>
    <n v="3"/>
    <n v="3"/>
    <n v="3"/>
    <n v="2"/>
    <n v="0"/>
    <n v="2"/>
  </r>
  <r>
    <s v="No"/>
    <s v="Travel_Rarely"/>
    <x v="0"/>
    <s v="Current Employees"/>
    <x v="1"/>
    <x v="1"/>
    <x v="506"/>
    <x v="506"/>
    <x v="1"/>
    <x v="3"/>
    <x v="1"/>
    <s v="No"/>
    <s v="Y"/>
    <n v="2"/>
    <n v="-2"/>
    <n v="0"/>
    <x v="2"/>
    <x v="1"/>
    <m/>
    <n v="0"/>
    <n v="1"/>
    <n v="482"/>
    <n v="3"/>
    <x v="3"/>
    <x v="0"/>
    <n v="3"/>
    <n v="36"/>
    <n v="3"/>
    <n v="3"/>
    <x v="2"/>
    <n v="9434"/>
    <n v="9606"/>
    <n v="1"/>
    <n v="15"/>
    <n v="3"/>
    <n v="3"/>
    <n v="80"/>
    <n v="1"/>
    <n v="10"/>
    <n v="3"/>
    <n v="10"/>
    <n v="7"/>
    <n v="7"/>
    <n v="8"/>
  </r>
  <r>
    <s v="No"/>
    <s v="Travel_Rarely"/>
    <x v="2"/>
    <s v="Current Employees"/>
    <x v="0"/>
    <x v="2"/>
    <x v="507"/>
    <x v="507"/>
    <x v="0"/>
    <x v="0"/>
    <x v="1"/>
    <s v="No"/>
    <s v="Y"/>
    <n v="5"/>
    <n v="-2"/>
    <n v="0"/>
    <x v="11"/>
    <x v="1"/>
    <m/>
    <n v="0"/>
    <n v="1"/>
    <n v="1176"/>
    <n v="3"/>
    <x v="0"/>
    <x v="0"/>
    <n v="2"/>
    <n v="62"/>
    <n v="3"/>
    <n v="2"/>
    <x v="2"/>
    <n v="5561"/>
    <n v="3487"/>
    <n v="1"/>
    <n v="14"/>
    <n v="3"/>
    <n v="1"/>
    <n v="80"/>
    <n v="1"/>
    <n v="6"/>
    <n v="2"/>
    <n v="6"/>
    <n v="0"/>
    <n v="1"/>
    <n v="2"/>
  </r>
  <r>
    <s v="No"/>
    <s v="Travel_Rarely"/>
    <x v="0"/>
    <s v="Current Employees"/>
    <x v="1"/>
    <x v="0"/>
    <x v="508"/>
    <x v="508"/>
    <x v="1"/>
    <x v="1"/>
    <x v="0"/>
    <s v="No"/>
    <s v="Y"/>
    <n v="3"/>
    <n v="-2"/>
    <n v="0"/>
    <x v="10"/>
    <x v="1"/>
    <m/>
    <n v="0"/>
    <n v="1"/>
    <n v="1017"/>
    <n v="6"/>
    <x v="2"/>
    <x v="0"/>
    <n v="2"/>
    <n v="82"/>
    <n v="1"/>
    <n v="2"/>
    <x v="1"/>
    <n v="6646"/>
    <n v="19368"/>
    <n v="1"/>
    <n v="13"/>
    <n v="3"/>
    <n v="2"/>
    <n v="80"/>
    <n v="0"/>
    <n v="17"/>
    <n v="3"/>
    <n v="17"/>
    <n v="11"/>
    <n v="11"/>
    <n v="8"/>
  </r>
  <r>
    <s v="No"/>
    <s v="Travel_Frequently"/>
    <x v="2"/>
    <s v="Current Employees"/>
    <x v="1"/>
    <x v="0"/>
    <x v="509"/>
    <x v="509"/>
    <x v="1"/>
    <x v="4"/>
    <x v="2"/>
    <s v="No"/>
    <s v="Y"/>
    <n v="2"/>
    <n v="-2"/>
    <n v="0"/>
    <x v="3"/>
    <x v="1"/>
    <m/>
    <n v="0"/>
    <n v="1"/>
    <n v="1296"/>
    <n v="6"/>
    <x v="3"/>
    <x v="0"/>
    <n v="3"/>
    <n v="30"/>
    <n v="3"/>
    <n v="2"/>
    <x v="1"/>
    <n v="7725"/>
    <n v="5335"/>
    <n v="3"/>
    <n v="23"/>
    <n v="4"/>
    <n v="3"/>
    <n v="80"/>
    <n v="1"/>
    <n v="15"/>
    <n v="1"/>
    <n v="13"/>
    <n v="11"/>
    <n v="4"/>
    <n v="7"/>
  </r>
  <r>
    <s v="No"/>
    <s v="Travel_Rarely"/>
    <x v="1"/>
    <s v="Current Employees"/>
    <x v="2"/>
    <x v="2"/>
    <x v="510"/>
    <x v="510"/>
    <x v="1"/>
    <x v="8"/>
    <x v="1"/>
    <s v="No"/>
    <s v="Y"/>
    <n v="1"/>
    <n v="-2"/>
    <n v="0"/>
    <x v="33"/>
    <x v="1"/>
    <m/>
    <n v="0"/>
    <n v="1"/>
    <n v="397"/>
    <n v="19"/>
    <x v="2"/>
    <x v="0"/>
    <n v="3"/>
    <n v="88"/>
    <n v="3"/>
    <n v="3"/>
    <x v="2"/>
    <n v="10725"/>
    <n v="6729"/>
    <n v="2"/>
    <n v="15"/>
    <n v="3"/>
    <n v="3"/>
    <n v="80"/>
    <n v="1"/>
    <n v="16"/>
    <n v="4"/>
    <n v="9"/>
    <n v="7"/>
    <n v="7"/>
    <n v="1"/>
  </r>
  <r>
    <s v="No"/>
    <s v="Travel_Rarely"/>
    <x v="0"/>
    <s v="Current Employees"/>
    <x v="1"/>
    <x v="2"/>
    <x v="511"/>
    <x v="511"/>
    <x v="1"/>
    <x v="3"/>
    <x v="2"/>
    <s v="Yes"/>
    <s v="Y"/>
    <n v="2"/>
    <n v="-2"/>
    <n v="0"/>
    <x v="9"/>
    <x v="1"/>
    <m/>
    <n v="0"/>
    <n v="1"/>
    <n v="913"/>
    <n v="9"/>
    <x v="0"/>
    <x v="0"/>
    <n v="2"/>
    <n v="48"/>
    <n v="2"/>
    <n v="2"/>
    <x v="2"/>
    <n v="8847"/>
    <n v="13934"/>
    <n v="2"/>
    <n v="11"/>
    <n v="3"/>
    <n v="3"/>
    <n v="80"/>
    <n v="1"/>
    <n v="13"/>
    <n v="3"/>
    <n v="3"/>
    <n v="2"/>
    <n v="0"/>
    <n v="2"/>
  </r>
  <r>
    <s v="No"/>
    <s v="Travel_Rarely"/>
    <x v="2"/>
    <s v="Current Employees"/>
    <x v="1"/>
    <x v="2"/>
    <x v="512"/>
    <x v="512"/>
    <x v="1"/>
    <x v="1"/>
    <x v="0"/>
    <s v="No"/>
    <s v="Y"/>
    <n v="0"/>
    <n v="-2"/>
    <n v="0"/>
    <x v="4"/>
    <x v="1"/>
    <m/>
    <n v="0"/>
    <n v="1"/>
    <n v="1115"/>
    <n v="3"/>
    <x v="2"/>
    <x v="0"/>
    <n v="1"/>
    <n v="54"/>
    <n v="2"/>
    <n v="1"/>
    <x v="0"/>
    <n v="2045"/>
    <n v="15174"/>
    <n v="0"/>
    <n v="13"/>
    <n v="3"/>
    <n v="4"/>
    <n v="80"/>
    <n v="0"/>
    <n v="5"/>
    <n v="3"/>
    <n v="4"/>
    <n v="2"/>
    <n v="1"/>
    <n v="1"/>
  </r>
  <r>
    <s v="Yes"/>
    <s v="Travel_Rarely"/>
    <x v="4"/>
    <s v="Ex-Employees"/>
    <x v="1"/>
    <x v="2"/>
    <x v="513"/>
    <x v="513"/>
    <x v="1"/>
    <x v="1"/>
    <x v="0"/>
    <s v="Yes"/>
    <s v="Y"/>
    <n v="5"/>
    <n v="-2"/>
    <n v="0"/>
    <x v="35"/>
    <x v="0"/>
    <n v="1"/>
    <n v="1"/>
    <n v="0"/>
    <n v="1362"/>
    <n v="10"/>
    <x v="1"/>
    <x v="0"/>
    <n v="4"/>
    <n v="32"/>
    <n v="3"/>
    <n v="1"/>
    <x v="2"/>
    <n v="1009"/>
    <n v="26999"/>
    <n v="1"/>
    <n v="11"/>
    <n v="3"/>
    <n v="4"/>
    <n v="80"/>
    <n v="0"/>
    <n v="1"/>
    <n v="3"/>
    <n v="1"/>
    <n v="0"/>
    <n v="1"/>
    <n v="1"/>
  </r>
  <r>
    <s v="Yes"/>
    <s v="Travel_Frequently"/>
    <x v="2"/>
    <s v="Ex-Employees"/>
    <x v="1"/>
    <x v="0"/>
    <x v="514"/>
    <x v="514"/>
    <x v="1"/>
    <x v="1"/>
    <x v="0"/>
    <s v="Yes"/>
    <s v="Y"/>
    <n v="3"/>
    <n v="-2"/>
    <n v="0"/>
    <x v="3"/>
    <x v="0"/>
    <n v="1"/>
    <n v="1"/>
    <n v="0"/>
    <n v="1076"/>
    <n v="3"/>
    <x v="3"/>
    <x v="0"/>
    <n v="1"/>
    <n v="70"/>
    <n v="3"/>
    <n v="1"/>
    <x v="1"/>
    <n v="3348"/>
    <n v="3164"/>
    <n v="1"/>
    <n v="11"/>
    <n v="3"/>
    <n v="1"/>
    <n v="80"/>
    <n v="0"/>
    <n v="10"/>
    <n v="3"/>
    <n v="10"/>
    <n v="8"/>
    <n v="9"/>
    <n v="7"/>
  </r>
  <r>
    <s v="No"/>
    <s v="Non-Travel"/>
    <x v="0"/>
    <s v="Current Employees"/>
    <x v="1"/>
    <x v="0"/>
    <x v="515"/>
    <x v="515"/>
    <x v="1"/>
    <x v="2"/>
    <x v="1"/>
    <s v="No"/>
    <s v="Y"/>
    <n v="3"/>
    <n v="-2"/>
    <n v="0"/>
    <x v="10"/>
    <x v="1"/>
    <m/>
    <n v="0"/>
    <n v="1"/>
    <n v="727"/>
    <n v="3"/>
    <x v="3"/>
    <x v="0"/>
    <n v="3"/>
    <n v="41"/>
    <n v="2"/>
    <n v="1"/>
    <x v="1"/>
    <n v="1281"/>
    <n v="16900"/>
    <n v="1"/>
    <n v="18"/>
    <n v="3"/>
    <n v="3"/>
    <n v="80"/>
    <n v="2"/>
    <n v="1"/>
    <n v="3"/>
    <n v="1"/>
    <n v="0"/>
    <n v="0"/>
    <n v="0"/>
  </r>
  <r>
    <s v="No"/>
    <s v="Travel_Rarely"/>
    <x v="4"/>
    <s v="Current Employees"/>
    <x v="1"/>
    <x v="2"/>
    <x v="516"/>
    <x v="516"/>
    <x v="1"/>
    <x v="1"/>
    <x v="1"/>
    <s v="No"/>
    <s v="Y"/>
    <n v="3"/>
    <n v="-2"/>
    <n v="0"/>
    <x v="30"/>
    <x v="1"/>
    <m/>
    <n v="0"/>
    <n v="1"/>
    <n v="885"/>
    <n v="4"/>
    <x v="3"/>
    <x v="0"/>
    <n v="1"/>
    <n v="58"/>
    <n v="4"/>
    <n v="1"/>
    <x v="2"/>
    <n v="2819"/>
    <n v="8544"/>
    <n v="2"/>
    <n v="16"/>
    <n v="3"/>
    <n v="1"/>
    <n v="80"/>
    <n v="1"/>
    <n v="5"/>
    <n v="4"/>
    <n v="3"/>
    <n v="2"/>
    <n v="0"/>
    <n v="2"/>
  </r>
  <r>
    <s v="No"/>
    <s v="Travel_Rarely"/>
    <x v="2"/>
    <s v="Current Employees"/>
    <x v="0"/>
    <x v="0"/>
    <x v="517"/>
    <x v="517"/>
    <x v="1"/>
    <x v="0"/>
    <x v="1"/>
    <s v="No"/>
    <s v="Y"/>
    <n v="4"/>
    <n v="-2"/>
    <n v="0"/>
    <x v="36"/>
    <x v="1"/>
    <m/>
    <n v="0"/>
    <n v="1"/>
    <n v="810"/>
    <n v="8"/>
    <x v="3"/>
    <x v="0"/>
    <n v="4"/>
    <n v="57"/>
    <n v="4"/>
    <n v="2"/>
    <x v="1"/>
    <n v="4851"/>
    <n v="15678"/>
    <n v="0"/>
    <n v="22"/>
    <n v="4"/>
    <n v="3"/>
    <n v="80"/>
    <n v="1"/>
    <n v="4"/>
    <n v="3"/>
    <n v="3"/>
    <n v="2"/>
    <n v="1"/>
    <n v="2"/>
  </r>
  <r>
    <s v="No"/>
    <s v="Travel_Rarely"/>
    <x v="0"/>
    <s v="Current Employees"/>
    <x v="0"/>
    <x v="3"/>
    <x v="518"/>
    <x v="518"/>
    <x v="0"/>
    <x v="0"/>
    <x v="0"/>
    <s v="No"/>
    <s v="Y"/>
    <n v="2"/>
    <n v="-2"/>
    <n v="0"/>
    <x v="8"/>
    <x v="1"/>
    <m/>
    <n v="0"/>
    <n v="1"/>
    <n v="243"/>
    <n v="7"/>
    <x v="2"/>
    <x v="0"/>
    <n v="4"/>
    <n v="46"/>
    <n v="2"/>
    <n v="2"/>
    <x v="3"/>
    <n v="4028"/>
    <n v="7791"/>
    <n v="0"/>
    <n v="20"/>
    <n v="4"/>
    <n v="1"/>
    <n v="80"/>
    <n v="0"/>
    <n v="8"/>
    <n v="3"/>
    <n v="7"/>
    <n v="7"/>
    <n v="0"/>
    <n v="5"/>
  </r>
  <r>
    <s v="No"/>
    <s v="Travel_Frequently"/>
    <x v="2"/>
    <s v="Current Employees"/>
    <x v="1"/>
    <x v="0"/>
    <x v="519"/>
    <x v="519"/>
    <x v="1"/>
    <x v="1"/>
    <x v="2"/>
    <s v="No"/>
    <s v="Y"/>
    <n v="5"/>
    <n v="-2"/>
    <n v="0"/>
    <x v="11"/>
    <x v="1"/>
    <m/>
    <n v="0"/>
    <n v="1"/>
    <n v="806"/>
    <n v="1"/>
    <x v="2"/>
    <x v="0"/>
    <n v="2"/>
    <n v="76"/>
    <n v="1"/>
    <n v="1"/>
    <x v="0"/>
    <n v="2720"/>
    <n v="18959"/>
    <n v="1"/>
    <n v="18"/>
    <n v="3"/>
    <n v="4"/>
    <n v="80"/>
    <n v="1"/>
    <n v="10"/>
    <n v="3"/>
    <n v="10"/>
    <n v="7"/>
    <n v="2"/>
    <n v="8"/>
  </r>
  <r>
    <s v="No"/>
    <s v="Travel_Rarely"/>
    <x v="1"/>
    <s v="Current Employees"/>
    <x v="0"/>
    <x v="3"/>
    <x v="520"/>
    <x v="520"/>
    <x v="1"/>
    <x v="0"/>
    <x v="1"/>
    <s v="No"/>
    <s v="Y"/>
    <n v="3"/>
    <n v="-2"/>
    <n v="0"/>
    <x v="26"/>
    <x v="1"/>
    <m/>
    <n v="0"/>
    <n v="1"/>
    <n v="817"/>
    <n v="2"/>
    <x v="1"/>
    <x v="0"/>
    <n v="2"/>
    <n v="56"/>
    <n v="4"/>
    <n v="2"/>
    <x v="3"/>
    <n v="8120"/>
    <n v="18597"/>
    <n v="3"/>
    <n v="12"/>
    <n v="3"/>
    <n v="4"/>
    <n v="80"/>
    <n v="0"/>
    <n v="12"/>
    <n v="3"/>
    <n v="2"/>
    <n v="2"/>
    <n v="2"/>
    <n v="2"/>
  </r>
  <r>
    <s v="No"/>
    <s v="Travel_Frequently"/>
    <x v="2"/>
    <s v="Current Employees"/>
    <x v="0"/>
    <x v="2"/>
    <x v="521"/>
    <x v="521"/>
    <x v="0"/>
    <x v="0"/>
    <x v="2"/>
    <s v="Yes"/>
    <s v="Y"/>
    <n v="3"/>
    <n v="-2"/>
    <n v="0"/>
    <x v="4"/>
    <x v="1"/>
    <m/>
    <n v="0"/>
    <n v="1"/>
    <n v="1410"/>
    <n v="3"/>
    <x v="1"/>
    <x v="0"/>
    <n v="4"/>
    <n v="71"/>
    <n v="4"/>
    <n v="2"/>
    <x v="0"/>
    <n v="4647"/>
    <n v="16673"/>
    <n v="1"/>
    <n v="20"/>
    <n v="4"/>
    <n v="2"/>
    <n v="80"/>
    <n v="2"/>
    <n v="6"/>
    <n v="3"/>
    <n v="6"/>
    <n v="5"/>
    <n v="0"/>
    <n v="4"/>
  </r>
  <r>
    <s v="No"/>
    <s v="Travel_Rarely"/>
    <x v="0"/>
    <s v="Current Employees"/>
    <x v="1"/>
    <x v="0"/>
    <x v="522"/>
    <x v="522"/>
    <x v="1"/>
    <x v="1"/>
    <x v="0"/>
    <s v="No"/>
    <s v="Y"/>
    <n v="2"/>
    <n v="-2"/>
    <n v="0"/>
    <x v="2"/>
    <x v="1"/>
    <m/>
    <n v="0"/>
    <n v="1"/>
    <n v="1225"/>
    <n v="10"/>
    <x v="0"/>
    <x v="0"/>
    <n v="4"/>
    <n v="80"/>
    <n v="4"/>
    <n v="1"/>
    <x v="0"/>
    <n v="4680"/>
    <n v="15232"/>
    <n v="3"/>
    <n v="17"/>
    <n v="3"/>
    <n v="1"/>
    <n v="80"/>
    <n v="0"/>
    <n v="4"/>
    <n v="3"/>
    <n v="1"/>
    <n v="0"/>
    <n v="0"/>
    <n v="0"/>
  </r>
  <r>
    <s v="No"/>
    <s v="Travel_Rarely"/>
    <x v="1"/>
    <s v="Current Employees"/>
    <x v="1"/>
    <x v="2"/>
    <x v="523"/>
    <x v="523"/>
    <x v="1"/>
    <x v="2"/>
    <x v="1"/>
    <s v="Yes"/>
    <s v="Y"/>
    <n v="3"/>
    <n v="-2"/>
    <n v="0"/>
    <x v="24"/>
    <x v="1"/>
    <m/>
    <n v="0"/>
    <n v="1"/>
    <n v="1207"/>
    <n v="28"/>
    <x v="1"/>
    <x v="0"/>
    <n v="4"/>
    <n v="74"/>
    <n v="4"/>
    <n v="1"/>
    <x v="2"/>
    <n v="3221"/>
    <n v="3297"/>
    <n v="1"/>
    <n v="11"/>
    <n v="3"/>
    <n v="3"/>
    <n v="80"/>
    <n v="3"/>
    <n v="20"/>
    <n v="3"/>
    <n v="20"/>
    <n v="8"/>
    <n v="3"/>
    <n v="8"/>
  </r>
  <r>
    <s v="No"/>
    <s v="Travel_Rarely"/>
    <x v="2"/>
    <s v="Current Employees"/>
    <x v="1"/>
    <x v="2"/>
    <x v="524"/>
    <x v="524"/>
    <x v="0"/>
    <x v="4"/>
    <x v="0"/>
    <s v="No"/>
    <s v="Y"/>
    <n v="3"/>
    <n v="-2"/>
    <n v="0"/>
    <x v="13"/>
    <x v="1"/>
    <m/>
    <n v="0"/>
    <n v="1"/>
    <n v="1442"/>
    <n v="9"/>
    <x v="3"/>
    <x v="0"/>
    <n v="4"/>
    <n v="46"/>
    <n v="2"/>
    <n v="3"/>
    <x v="2"/>
    <n v="8621"/>
    <n v="17654"/>
    <n v="1"/>
    <n v="14"/>
    <n v="3"/>
    <n v="2"/>
    <n v="80"/>
    <n v="0"/>
    <n v="9"/>
    <n v="4"/>
    <n v="8"/>
    <n v="7"/>
    <n v="7"/>
    <n v="7"/>
  </r>
  <r>
    <s v="Yes"/>
    <s v="Travel_Rarely"/>
    <x v="4"/>
    <s v="Ex-Employees"/>
    <x v="0"/>
    <x v="0"/>
    <x v="525"/>
    <x v="525"/>
    <x v="0"/>
    <x v="0"/>
    <x v="0"/>
    <s v="No"/>
    <s v="Y"/>
    <n v="3"/>
    <n v="-2"/>
    <n v="0"/>
    <x v="17"/>
    <x v="0"/>
    <n v="1"/>
    <n v="1"/>
    <n v="0"/>
    <n v="693"/>
    <n v="3"/>
    <x v="0"/>
    <x v="0"/>
    <n v="1"/>
    <n v="65"/>
    <n v="3"/>
    <n v="2"/>
    <x v="2"/>
    <n v="4577"/>
    <n v="24785"/>
    <n v="9"/>
    <n v="14"/>
    <n v="3"/>
    <n v="1"/>
    <n v="80"/>
    <n v="0"/>
    <n v="4"/>
    <n v="3"/>
    <n v="2"/>
    <n v="2"/>
    <n v="2"/>
    <n v="0"/>
  </r>
  <r>
    <s v="No"/>
    <s v="Travel_Rarely"/>
    <x v="0"/>
    <s v="Current Employees"/>
    <x v="1"/>
    <x v="4"/>
    <x v="526"/>
    <x v="526"/>
    <x v="0"/>
    <x v="4"/>
    <x v="0"/>
    <s v="No"/>
    <s v="Y"/>
    <n v="4"/>
    <n v="-2"/>
    <n v="0"/>
    <x v="22"/>
    <x v="1"/>
    <m/>
    <n v="0"/>
    <n v="1"/>
    <n v="408"/>
    <n v="2"/>
    <x v="2"/>
    <x v="0"/>
    <n v="4"/>
    <n v="80"/>
    <n v="2"/>
    <n v="2"/>
    <x v="0"/>
    <n v="4553"/>
    <n v="20978"/>
    <n v="1"/>
    <n v="11"/>
    <n v="3"/>
    <n v="1"/>
    <n v="80"/>
    <n v="0"/>
    <n v="20"/>
    <n v="3"/>
    <n v="20"/>
    <n v="7"/>
    <n v="11"/>
    <n v="10"/>
  </r>
  <r>
    <s v="No"/>
    <s v="Travel_Rarely"/>
    <x v="2"/>
    <s v="Current Employees"/>
    <x v="0"/>
    <x v="3"/>
    <x v="527"/>
    <x v="527"/>
    <x v="1"/>
    <x v="0"/>
    <x v="0"/>
    <s v="No"/>
    <s v="Y"/>
    <n v="2"/>
    <n v="-2"/>
    <n v="0"/>
    <x v="5"/>
    <x v="1"/>
    <m/>
    <n v="0"/>
    <n v="1"/>
    <n v="929"/>
    <n v="10"/>
    <x v="3"/>
    <x v="0"/>
    <n v="4"/>
    <n v="55"/>
    <n v="3"/>
    <n v="2"/>
    <x v="3"/>
    <n v="5396"/>
    <n v="21703"/>
    <n v="1"/>
    <n v="12"/>
    <n v="3"/>
    <n v="4"/>
    <n v="80"/>
    <n v="0"/>
    <n v="10"/>
    <n v="2"/>
    <n v="10"/>
    <n v="7"/>
    <n v="0"/>
    <n v="8"/>
  </r>
  <r>
    <s v="Yes"/>
    <s v="Travel_Frequently"/>
    <x v="1"/>
    <s v="Ex-Employees"/>
    <x v="0"/>
    <x v="4"/>
    <x v="528"/>
    <x v="528"/>
    <x v="1"/>
    <x v="0"/>
    <x v="1"/>
    <s v="Yes"/>
    <s v="Y"/>
    <n v="4"/>
    <n v="-2"/>
    <n v="0"/>
    <x v="24"/>
    <x v="0"/>
    <n v="1"/>
    <n v="1"/>
    <n v="0"/>
    <n v="562"/>
    <n v="8"/>
    <x v="0"/>
    <x v="0"/>
    <n v="4"/>
    <n v="50"/>
    <n v="3"/>
    <n v="2"/>
    <x v="0"/>
    <n v="6796"/>
    <n v="23452"/>
    <n v="3"/>
    <n v="14"/>
    <n v="3"/>
    <n v="1"/>
    <n v="80"/>
    <n v="1"/>
    <n v="18"/>
    <n v="3"/>
    <n v="4"/>
    <n v="3"/>
    <n v="1"/>
    <n v="3"/>
  </r>
  <r>
    <s v="No"/>
    <s v="Travel_Rarely"/>
    <x v="0"/>
    <s v="Current Employees"/>
    <x v="1"/>
    <x v="0"/>
    <x v="529"/>
    <x v="529"/>
    <x v="0"/>
    <x v="4"/>
    <x v="0"/>
    <s v="No"/>
    <s v="Y"/>
    <n v="4"/>
    <n v="-2"/>
    <n v="0"/>
    <x v="8"/>
    <x v="1"/>
    <m/>
    <n v="0"/>
    <n v="1"/>
    <n v="827"/>
    <n v="1"/>
    <x v="2"/>
    <x v="0"/>
    <n v="2"/>
    <n v="33"/>
    <n v="4"/>
    <n v="2"/>
    <x v="0"/>
    <n v="7625"/>
    <n v="19383"/>
    <n v="0"/>
    <n v="13"/>
    <n v="3"/>
    <n v="3"/>
    <n v="80"/>
    <n v="0"/>
    <n v="10"/>
    <n v="2"/>
    <n v="9"/>
    <n v="7"/>
    <n v="1"/>
    <n v="8"/>
  </r>
  <r>
    <s v="No"/>
    <s v="Travel_Rarely"/>
    <x v="2"/>
    <s v="Current Employees"/>
    <x v="1"/>
    <x v="0"/>
    <x v="530"/>
    <x v="530"/>
    <x v="0"/>
    <x v="3"/>
    <x v="1"/>
    <s v="No"/>
    <s v="Y"/>
    <n v="3"/>
    <n v="-2"/>
    <n v="0"/>
    <x v="4"/>
    <x v="1"/>
    <m/>
    <n v="0"/>
    <n v="1"/>
    <n v="608"/>
    <n v="1"/>
    <x v="0"/>
    <x v="0"/>
    <n v="3"/>
    <n v="68"/>
    <n v="3"/>
    <n v="3"/>
    <x v="2"/>
    <n v="7412"/>
    <n v="6009"/>
    <n v="1"/>
    <n v="11"/>
    <n v="3"/>
    <n v="4"/>
    <n v="80"/>
    <n v="0"/>
    <n v="9"/>
    <n v="3"/>
    <n v="9"/>
    <n v="7"/>
    <n v="0"/>
    <n v="7"/>
  </r>
  <r>
    <s v="No"/>
    <s v="Travel_Rarely"/>
    <x v="2"/>
    <s v="Current Employees"/>
    <x v="1"/>
    <x v="0"/>
    <x v="531"/>
    <x v="531"/>
    <x v="0"/>
    <x v="7"/>
    <x v="0"/>
    <s v="No"/>
    <s v="Y"/>
    <n v="6"/>
    <n v="-2"/>
    <n v="0"/>
    <x v="5"/>
    <x v="1"/>
    <m/>
    <n v="0"/>
    <n v="1"/>
    <n v="1018"/>
    <n v="3"/>
    <x v="0"/>
    <x v="0"/>
    <n v="3"/>
    <n v="39"/>
    <n v="3"/>
    <n v="3"/>
    <x v="0"/>
    <n v="11159"/>
    <n v="19373"/>
    <n v="3"/>
    <n v="15"/>
    <n v="3"/>
    <n v="4"/>
    <n v="80"/>
    <n v="0"/>
    <n v="10"/>
    <n v="3"/>
    <n v="7"/>
    <n v="7"/>
    <n v="7"/>
    <n v="7"/>
  </r>
  <r>
    <s v="No"/>
    <s v="Travel_Rarely"/>
    <x v="1"/>
    <s v="Current Employees"/>
    <x v="0"/>
    <x v="3"/>
    <x v="532"/>
    <x v="532"/>
    <x v="1"/>
    <x v="0"/>
    <x v="0"/>
    <s v="No"/>
    <s v="Y"/>
    <n v="2"/>
    <n v="-2"/>
    <n v="0"/>
    <x v="40"/>
    <x v="1"/>
    <m/>
    <n v="0"/>
    <n v="1"/>
    <n v="703"/>
    <n v="14"/>
    <x v="2"/>
    <x v="0"/>
    <n v="4"/>
    <n v="42"/>
    <n v="3"/>
    <n v="2"/>
    <x v="3"/>
    <n v="4960"/>
    <n v="11825"/>
    <n v="2"/>
    <n v="12"/>
    <n v="3"/>
    <n v="4"/>
    <n v="80"/>
    <n v="0"/>
    <n v="20"/>
    <n v="3"/>
    <n v="7"/>
    <n v="7"/>
    <n v="1"/>
    <n v="7"/>
  </r>
  <r>
    <s v="No"/>
    <s v="Travel_Frequently"/>
    <x v="0"/>
    <s v="Current Employees"/>
    <x v="0"/>
    <x v="0"/>
    <x v="533"/>
    <x v="533"/>
    <x v="1"/>
    <x v="0"/>
    <x v="1"/>
    <s v="Yes"/>
    <s v="Y"/>
    <n v="2"/>
    <n v="-2"/>
    <n v="0"/>
    <x v="32"/>
    <x v="1"/>
    <m/>
    <n v="0"/>
    <n v="1"/>
    <n v="580"/>
    <n v="5"/>
    <x v="2"/>
    <x v="0"/>
    <n v="4"/>
    <n v="48"/>
    <n v="2"/>
    <n v="3"/>
    <x v="2"/>
    <n v="10475"/>
    <n v="23772"/>
    <n v="5"/>
    <n v="21"/>
    <n v="4"/>
    <n v="3"/>
    <n v="80"/>
    <n v="1"/>
    <n v="20"/>
    <n v="3"/>
    <n v="18"/>
    <n v="13"/>
    <n v="1"/>
    <n v="12"/>
  </r>
  <r>
    <s v="No"/>
    <s v="Travel_Rarely"/>
    <x v="1"/>
    <s v="Current Employees"/>
    <x v="1"/>
    <x v="0"/>
    <x v="534"/>
    <x v="534"/>
    <x v="1"/>
    <x v="7"/>
    <x v="1"/>
    <s v="No"/>
    <s v="Y"/>
    <n v="3"/>
    <n v="-2"/>
    <n v="0"/>
    <x v="16"/>
    <x v="1"/>
    <m/>
    <n v="0"/>
    <n v="1"/>
    <n v="970"/>
    <n v="7"/>
    <x v="3"/>
    <x v="0"/>
    <n v="3"/>
    <n v="59"/>
    <n v="4"/>
    <n v="4"/>
    <x v="2"/>
    <n v="14814"/>
    <n v="13514"/>
    <n v="3"/>
    <n v="19"/>
    <n v="3"/>
    <n v="3"/>
    <n v="80"/>
    <n v="0"/>
    <n v="32"/>
    <n v="3"/>
    <n v="5"/>
    <n v="1"/>
    <n v="1"/>
    <n v="3"/>
  </r>
  <r>
    <s v="No"/>
    <s v="Travel_Rarely"/>
    <x v="0"/>
    <s v="Current Employees"/>
    <x v="2"/>
    <x v="5"/>
    <x v="535"/>
    <x v="535"/>
    <x v="1"/>
    <x v="5"/>
    <x v="2"/>
    <s v="No"/>
    <s v="Y"/>
    <n v="2"/>
    <n v="-2"/>
    <n v="0"/>
    <x v="0"/>
    <x v="1"/>
    <m/>
    <n v="0"/>
    <n v="1"/>
    <n v="427"/>
    <n v="10"/>
    <x v="2"/>
    <x v="0"/>
    <n v="2"/>
    <n v="73"/>
    <n v="2"/>
    <n v="5"/>
    <x v="0"/>
    <n v="19141"/>
    <n v="8861"/>
    <n v="3"/>
    <n v="15"/>
    <n v="3"/>
    <n v="2"/>
    <n v="80"/>
    <n v="3"/>
    <n v="23"/>
    <n v="2"/>
    <n v="21"/>
    <n v="6"/>
    <n v="12"/>
    <n v="6"/>
  </r>
  <r>
    <s v="No"/>
    <s v="Travel_Rarely"/>
    <x v="3"/>
    <s v="Current Employees"/>
    <x v="0"/>
    <x v="3"/>
    <x v="536"/>
    <x v="536"/>
    <x v="1"/>
    <x v="0"/>
    <x v="0"/>
    <s v="No"/>
    <s v="Y"/>
    <n v="1"/>
    <n v="-2"/>
    <n v="0"/>
    <x v="42"/>
    <x v="1"/>
    <m/>
    <n v="0"/>
    <n v="1"/>
    <n v="1179"/>
    <n v="16"/>
    <x v="2"/>
    <x v="0"/>
    <n v="1"/>
    <n v="84"/>
    <n v="3"/>
    <n v="2"/>
    <x v="3"/>
    <n v="5405"/>
    <n v="11924"/>
    <n v="8"/>
    <n v="14"/>
    <n v="3"/>
    <n v="4"/>
    <n v="80"/>
    <n v="0"/>
    <n v="10"/>
    <n v="3"/>
    <n v="2"/>
    <n v="2"/>
    <n v="2"/>
    <n v="2"/>
  </r>
  <r>
    <s v="No"/>
    <s v="Travel_Frequently"/>
    <x v="2"/>
    <s v="Current Employees"/>
    <x v="1"/>
    <x v="0"/>
    <x v="537"/>
    <x v="537"/>
    <x v="1"/>
    <x v="3"/>
    <x v="2"/>
    <s v="No"/>
    <s v="Y"/>
    <n v="4"/>
    <n v="-2"/>
    <n v="0"/>
    <x v="4"/>
    <x v="1"/>
    <m/>
    <n v="0"/>
    <n v="1"/>
    <n v="294"/>
    <n v="10"/>
    <x v="0"/>
    <x v="0"/>
    <n v="4"/>
    <n v="32"/>
    <n v="3"/>
    <n v="3"/>
    <x v="2"/>
    <n v="8793"/>
    <n v="4809"/>
    <n v="1"/>
    <n v="21"/>
    <n v="4"/>
    <n v="3"/>
    <n v="80"/>
    <n v="2"/>
    <n v="9"/>
    <n v="2"/>
    <n v="9"/>
    <n v="7"/>
    <n v="1"/>
    <n v="7"/>
  </r>
  <r>
    <s v="No"/>
    <s v="Travel_Rarely"/>
    <x v="0"/>
    <s v="Current Employees"/>
    <x v="2"/>
    <x v="5"/>
    <x v="538"/>
    <x v="538"/>
    <x v="1"/>
    <x v="5"/>
    <x v="1"/>
    <s v="No"/>
    <s v="Y"/>
    <n v="3"/>
    <n v="-2"/>
    <n v="0"/>
    <x v="0"/>
    <x v="1"/>
    <m/>
    <n v="0"/>
    <n v="1"/>
    <n v="314"/>
    <n v="1"/>
    <x v="3"/>
    <x v="0"/>
    <n v="4"/>
    <n v="59"/>
    <n v="2"/>
    <n v="5"/>
    <x v="2"/>
    <n v="19189"/>
    <n v="19562"/>
    <n v="1"/>
    <n v="12"/>
    <n v="3"/>
    <n v="2"/>
    <n v="80"/>
    <n v="1"/>
    <n v="22"/>
    <n v="3"/>
    <n v="22"/>
    <n v="7"/>
    <n v="2"/>
    <n v="10"/>
  </r>
  <r>
    <s v="No"/>
    <s v="Travel_Rarely"/>
    <x v="1"/>
    <s v="Current Employees"/>
    <x v="0"/>
    <x v="3"/>
    <x v="539"/>
    <x v="539"/>
    <x v="1"/>
    <x v="6"/>
    <x v="1"/>
    <s v="No"/>
    <s v="Y"/>
    <n v="2"/>
    <n v="-2"/>
    <n v="0"/>
    <x v="24"/>
    <x v="1"/>
    <m/>
    <n v="0"/>
    <n v="1"/>
    <n v="316"/>
    <n v="8"/>
    <x v="2"/>
    <x v="0"/>
    <n v="4"/>
    <n v="54"/>
    <n v="3"/>
    <n v="1"/>
    <x v="3"/>
    <n v="3875"/>
    <n v="9983"/>
    <n v="7"/>
    <n v="15"/>
    <n v="3"/>
    <n v="4"/>
    <n v="80"/>
    <n v="1"/>
    <n v="4"/>
    <n v="3"/>
    <n v="2"/>
    <n v="2"/>
    <n v="2"/>
    <n v="2"/>
  </r>
  <r>
    <s v="Yes"/>
    <s v="Travel_Rarely"/>
    <x v="2"/>
    <s v="Ex-Employees"/>
    <x v="1"/>
    <x v="0"/>
    <x v="540"/>
    <x v="540"/>
    <x v="0"/>
    <x v="1"/>
    <x v="0"/>
    <s v="Yes"/>
    <s v="Y"/>
    <n v="4"/>
    <n v="-2"/>
    <n v="0"/>
    <x v="14"/>
    <x v="0"/>
    <n v="1"/>
    <n v="1"/>
    <n v="0"/>
    <n v="654"/>
    <n v="1"/>
    <x v="0"/>
    <x v="0"/>
    <n v="1"/>
    <n v="67"/>
    <n v="1"/>
    <n v="1"/>
    <x v="2"/>
    <n v="2216"/>
    <n v="3872"/>
    <n v="7"/>
    <n v="13"/>
    <n v="3"/>
    <n v="4"/>
    <n v="80"/>
    <n v="0"/>
    <n v="10"/>
    <n v="3"/>
    <n v="7"/>
    <n v="7"/>
    <n v="3"/>
    <n v="7"/>
  </r>
  <r>
    <s v="No"/>
    <s v="Non-Travel"/>
    <x v="0"/>
    <s v="Current Employees"/>
    <x v="1"/>
    <x v="0"/>
    <x v="541"/>
    <x v="541"/>
    <x v="0"/>
    <x v="7"/>
    <x v="1"/>
    <s v="No"/>
    <s v="Y"/>
    <n v="2"/>
    <n v="-2"/>
    <n v="0"/>
    <x v="9"/>
    <x v="1"/>
    <m/>
    <n v="0"/>
    <n v="1"/>
    <n v="427"/>
    <n v="8"/>
    <x v="3"/>
    <x v="0"/>
    <n v="1"/>
    <n v="63"/>
    <n v="4"/>
    <n v="3"/>
    <x v="2"/>
    <n v="11713"/>
    <n v="20335"/>
    <n v="9"/>
    <n v="14"/>
    <n v="3"/>
    <n v="1"/>
    <n v="80"/>
    <n v="1"/>
    <n v="10"/>
    <n v="3"/>
    <n v="8"/>
    <n v="7"/>
    <n v="0"/>
    <n v="5"/>
  </r>
  <r>
    <s v="No"/>
    <s v="Travel_Rarely"/>
    <x v="0"/>
    <s v="Current Employees"/>
    <x v="1"/>
    <x v="0"/>
    <x v="542"/>
    <x v="542"/>
    <x v="0"/>
    <x v="3"/>
    <x v="0"/>
    <s v="Yes"/>
    <s v="Y"/>
    <n v="4"/>
    <n v="-2"/>
    <n v="0"/>
    <x v="8"/>
    <x v="1"/>
    <m/>
    <n v="0"/>
    <n v="1"/>
    <n v="168"/>
    <n v="1"/>
    <x v="3"/>
    <x v="0"/>
    <n v="3"/>
    <n v="81"/>
    <n v="3"/>
    <n v="3"/>
    <x v="2"/>
    <n v="7861"/>
    <n v="15397"/>
    <n v="4"/>
    <n v="14"/>
    <n v="3"/>
    <n v="4"/>
    <n v="80"/>
    <n v="0"/>
    <n v="10"/>
    <n v="4"/>
    <n v="1"/>
    <n v="0"/>
    <n v="0"/>
    <n v="0"/>
  </r>
  <r>
    <s v="No"/>
    <s v="Non-Travel"/>
    <x v="0"/>
    <s v="Current Employees"/>
    <x v="1"/>
    <x v="2"/>
    <x v="543"/>
    <x v="543"/>
    <x v="1"/>
    <x v="2"/>
    <x v="0"/>
    <s v="No"/>
    <s v="Y"/>
    <n v="5"/>
    <n v="-2"/>
    <n v="0"/>
    <x v="20"/>
    <x v="1"/>
    <m/>
    <n v="0"/>
    <n v="1"/>
    <n v="381"/>
    <n v="24"/>
    <x v="3"/>
    <x v="0"/>
    <n v="1"/>
    <n v="49"/>
    <n v="1"/>
    <n v="1"/>
    <x v="2"/>
    <n v="3708"/>
    <n v="2104"/>
    <n v="2"/>
    <n v="14"/>
    <n v="3"/>
    <n v="3"/>
    <n v="80"/>
    <n v="0"/>
    <n v="9"/>
    <n v="3"/>
    <n v="5"/>
    <n v="2"/>
    <n v="1"/>
    <n v="4"/>
  </r>
  <r>
    <s v="No"/>
    <s v="Travel_Frequently"/>
    <x v="1"/>
    <s v="Current Employees"/>
    <x v="0"/>
    <x v="2"/>
    <x v="544"/>
    <x v="544"/>
    <x v="0"/>
    <x v="0"/>
    <x v="2"/>
    <s v="Yes"/>
    <s v="Y"/>
    <n v="2"/>
    <n v="-2"/>
    <n v="0"/>
    <x v="40"/>
    <x v="1"/>
    <m/>
    <n v="0"/>
    <n v="1"/>
    <n v="217"/>
    <n v="3"/>
    <x v="3"/>
    <x v="0"/>
    <n v="4"/>
    <n v="49"/>
    <n v="3"/>
    <n v="4"/>
    <x v="2"/>
    <n v="13770"/>
    <n v="10225"/>
    <n v="9"/>
    <n v="12"/>
    <n v="3"/>
    <n v="4"/>
    <n v="80"/>
    <n v="2"/>
    <n v="28"/>
    <n v="2"/>
    <n v="22"/>
    <n v="2"/>
    <n v="11"/>
    <n v="13"/>
  </r>
  <r>
    <s v="No"/>
    <s v="Travel_Rarely"/>
    <x v="2"/>
    <s v="Current Employees"/>
    <x v="0"/>
    <x v="3"/>
    <x v="545"/>
    <x v="545"/>
    <x v="1"/>
    <x v="0"/>
    <x v="2"/>
    <s v="No"/>
    <s v="Y"/>
    <n v="2"/>
    <n v="-2"/>
    <n v="0"/>
    <x v="7"/>
    <x v="1"/>
    <m/>
    <n v="0"/>
    <n v="1"/>
    <n v="501"/>
    <n v="27"/>
    <x v="4"/>
    <x v="0"/>
    <n v="3"/>
    <n v="99"/>
    <n v="3"/>
    <n v="2"/>
    <x v="3"/>
    <n v="5304"/>
    <n v="25275"/>
    <n v="7"/>
    <n v="23"/>
    <n v="4"/>
    <n v="4"/>
    <n v="80"/>
    <n v="1"/>
    <n v="10"/>
    <n v="2"/>
    <n v="8"/>
    <n v="7"/>
    <n v="7"/>
    <n v="7"/>
  </r>
  <r>
    <s v="No"/>
    <s v="Travel_Rarely"/>
    <x v="2"/>
    <s v="Current Employees"/>
    <x v="0"/>
    <x v="0"/>
    <x v="546"/>
    <x v="546"/>
    <x v="1"/>
    <x v="6"/>
    <x v="0"/>
    <s v="No"/>
    <s v="Y"/>
    <n v="6"/>
    <n v="-2"/>
    <n v="0"/>
    <x v="11"/>
    <x v="1"/>
    <m/>
    <n v="0"/>
    <n v="1"/>
    <n v="1396"/>
    <n v="10"/>
    <x v="3"/>
    <x v="0"/>
    <n v="3"/>
    <n v="99"/>
    <n v="3"/>
    <n v="1"/>
    <x v="2"/>
    <n v="2642"/>
    <n v="2755"/>
    <n v="1"/>
    <n v="11"/>
    <n v="3"/>
    <n v="3"/>
    <n v="80"/>
    <n v="0"/>
    <n v="1"/>
    <n v="3"/>
    <n v="1"/>
    <n v="0"/>
    <n v="0"/>
    <n v="0"/>
  </r>
  <r>
    <s v="Yes"/>
    <s v="Travel_Frequently"/>
    <x v="0"/>
    <s v="Ex-Employees"/>
    <x v="1"/>
    <x v="2"/>
    <x v="547"/>
    <x v="547"/>
    <x v="1"/>
    <x v="1"/>
    <x v="2"/>
    <s v="Yes"/>
    <s v="Y"/>
    <n v="2"/>
    <n v="-2"/>
    <n v="0"/>
    <x v="19"/>
    <x v="0"/>
    <n v="1"/>
    <n v="1"/>
    <n v="0"/>
    <n v="933"/>
    <n v="19"/>
    <x v="3"/>
    <x v="0"/>
    <n v="3"/>
    <n v="57"/>
    <n v="4"/>
    <n v="1"/>
    <x v="2"/>
    <n v="2759"/>
    <n v="20366"/>
    <n v="6"/>
    <n v="12"/>
    <n v="3"/>
    <n v="4"/>
    <n v="80"/>
    <n v="0"/>
    <n v="7"/>
    <n v="3"/>
    <n v="2"/>
    <n v="2"/>
    <n v="2"/>
    <n v="2"/>
  </r>
  <r>
    <s v="No"/>
    <s v="Travel_Frequently"/>
    <x v="0"/>
    <s v="Current Employees"/>
    <x v="0"/>
    <x v="0"/>
    <x v="548"/>
    <x v="548"/>
    <x v="1"/>
    <x v="0"/>
    <x v="1"/>
    <s v="No"/>
    <s v="Y"/>
    <n v="5"/>
    <n v="-2"/>
    <n v="0"/>
    <x v="23"/>
    <x v="1"/>
    <m/>
    <n v="0"/>
    <n v="1"/>
    <n v="775"/>
    <n v="15"/>
    <x v="3"/>
    <x v="0"/>
    <n v="4"/>
    <n v="47"/>
    <n v="2"/>
    <n v="2"/>
    <x v="0"/>
    <n v="6804"/>
    <n v="23683"/>
    <n v="3"/>
    <n v="18"/>
    <n v="3"/>
    <n v="3"/>
    <n v="80"/>
    <n v="1"/>
    <n v="7"/>
    <n v="3"/>
    <n v="2"/>
    <n v="2"/>
    <n v="2"/>
    <n v="2"/>
  </r>
  <r>
    <s v="No"/>
    <s v="Travel_Rarely"/>
    <x v="2"/>
    <s v="Current Employees"/>
    <x v="1"/>
    <x v="2"/>
    <x v="549"/>
    <x v="549"/>
    <x v="0"/>
    <x v="4"/>
    <x v="0"/>
    <s v="No"/>
    <s v="Y"/>
    <n v="2"/>
    <n v="-2"/>
    <n v="0"/>
    <x v="13"/>
    <x v="1"/>
    <m/>
    <n v="0"/>
    <n v="1"/>
    <n v="970"/>
    <n v="8"/>
    <x v="0"/>
    <x v="0"/>
    <n v="2"/>
    <n v="96"/>
    <n v="3"/>
    <n v="2"/>
    <x v="2"/>
    <n v="6142"/>
    <n v="7360"/>
    <n v="3"/>
    <n v="11"/>
    <n v="3"/>
    <n v="4"/>
    <n v="80"/>
    <n v="0"/>
    <n v="10"/>
    <n v="3"/>
    <n v="5"/>
    <n v="1"/>
    <n v="4"/>
    <n v="3"/>
  </r>
  <r>
    <s v="No"/>
    <s v="Travel_Rarely"/>
    <x v="4"/>
    <s v="Current Employees"/>
    <x v="1"/>
    <x v="2"/>
    <x v="550"/>
    <x v="550"/>
    <x v="1"/>
    <x v="2"/>
    <x v="1"/>
    <s v="No"/>
    <s v="Y"/>
    <n v="2"/>
    <n v="-2"/>
    <n v="0"/>
    <x v="30"/>
    <x v="1"/>
    <m/>
    <n v="0"/>
    <n v="1"/>
    <n v="650"/>
    <n v="9"/>
    <x v="1"/>
    <x v="0"/>
    <n v="2"/>
    <n v="37"/>
    <n v="3"/>
    <n v="1"/>
    <x v="2"/>
    <n v="2500"/>
    <n v="4344"/>
    <n v="1"/>
    <n v="14"/>
    <n v="3"/>
    <n v="4"/>
    <n v="80"/>
    <n v="1"/>
    <n v="5"/>
    <n v="4"/>
    <n v="4"/>
    <n v="3"/>
    <n v="0"/>
    <n v="2"/>
  </r>
  <r>
    <s v="No"/>
    <s v="Travel_Rarely"/>
    <x v="0"/>
    <s v="Current Employees"/>
    <x v="2"/>
    <x v="5"/>
    <x v="551"/>
    <x v="551"/>
    <x v="0"/>
    <x v="8"/>
    <x v="1"/>
    <s v="No"/>
    <s v="Y"/>
    <n v="3"/>
    <n v="-2"/>
    <n v="0"/>
    <x v="22"/>
    <x v="1"/>
    <m/>
    <n v="0"/>
    <n v="1"/>
    <n v="141"/>
    <n v="3"/>
    <x v="3"/>
    <x v="0"/>
    <n v="3"/>
    <n v="44"/>
    <n v="4"/>
    <n v="2"/>
    <x v="2"/>
    <n v="6389"/>
    <n v="18767"/>
    <n v="9"/>
    <n v="15"/>
    <n v="3"/>
    <n v="3"/>
    <n v="80"/>
    <n v="1"/>
    <n v="12"/>
    <n v="1"/>
    <n v="8"/>
    <n v="3"/>
    <n v="3"/>
    <n v="6"/>
  </r>
  <r>
    <s v="No"/>
    <s v="Travel_Rarely"/>
    <x v="3"/>
    <s v="Current Employees"/>
    <x v="1"/>
    <x v="2"/>
    <x v="552"/>
    <x v="552"/>
    <x v="1"/>
    <x v="4"/>
    <x v="1"/>
    <s v="No"/>
    <s v="Y"/>
    <n v="1"/>
    <n v="-2"/>
    <n v="0"/>
    <x v="29"/>
    <x v="1"/>
    <m/>
    <n v="0"/>
    <n v="1"/>
    <n v="832"/>
    <n v="9"/>
    <x v="3"/>
    <x v="0"/>
    <n v="3"/>
    <n v="81"/>
    <n v="3"/>
    <n v="4"/>
    <x v="0"/>
    <n v="11103"/>
    <n v="20420"/>
    <n v="7"/>
    <n v="11"/>
    <n v="3"/>
    <n v="3"/>
    <n v="80"/>
    <n v="0"/>
    <n v="30"/>
    <n v="2"/>
    <n v="10"/>
    <n v="7"/>
    <n v="1"/>
    <n v="1"/>
  </r>
  <r>
    <s v="No"/>
    <s v="Travel_Rarely"/>
    <x v="0"/>
    <s v="Current Employees"/>
    <x v="1"/>
    <x v="2"/>
    <x v="553"/>
    <x v="553"/>
    <x v="0"/>
    <x v="1"/>
    <x v="0"/>
    <s v="Yes"/>
    <s v="Y"/>
    <n v="2"/>
    <n v="-2"/>
    <n v="0"/>
    <x v="32"/>
    <x v="1"/>
    <m/>
    <n v="0"/>
    <n v="1"/>
    <n v="804"/>
    <n v="2"/>
    <x v="1"/>
    <x v="0"/>
    <n v="4"/>
    <n v="86"/>
    <n v="2"/>
    <n v="1"/>
    <x v="0"/>
    <n v="2342"/>
    <n v="22929"/>
    <n v="0"/>
    <n v="20"/>
    <n v="4"/>
    <n v="4"/>
    <n v="80"/>
    <n v="0"/>
    <n v="5"/>
    <n v="2"/>
    <n v="4"/>
    <n v="2"/>
    <n v="2"/>
    <n v="3"/>
  </r>
  <r>
    <s v="No"/>
    <s v="Travel_Rarely"/>
    <x v="2"/>
    <s v="Current Employees"/>
    <x v="1"/>
    <x v="2"/>
    <x v="554"/>
    <x v="554"/>
    <x v="0"/>
    <x v="4"/>
    <x v="0"/>
    <s v="No"/>
    <s v="Y"/>
    <n v="2"/>
    <n v="-2"/>
    <n v="0"/>
    <x v="4"/>
    <x v="1"/>
    <m/>
    <n v="0"/>
    <n v="1"/>
    <n v="975"/>
    <n v="7"/>
    <x v="3"/>
    <x v="0"/>
    <n v="4"/>
    <n v="55"/>
    <n v="2"/>
    <n v="2"/>
    <x v="2"/>
    <n v="6811"/>
    <n v="23398"/>
    <n v="8"/>
    <n v="19"/>
    <n v="3"/>
    <n v="1"/>
    <n v="80"/>
    <n v="0"/>
    <n v="9"/>
    <n v="1"/>
    <n v="7"/>
    <n v="6"/>
    <n v="0"/>
    <n v="7"/>
  </r>
  <r>
    <s v="No"/>
    <s v="Travel_Rarely"/>
    <x v="2"/>
    <s v="Current Employees"/>
    <x v="0"/>
    <x v="3"/>
    <x v="555"/>
    <x v="555"/>
    <x v="1"/>
    <x v="6"/>
    <x v="2"/>
    <s v="No"/>
    <s v="Y"/>
    <n v="2"/>
    <n v="-2"/>
    <n v="0"/>
    <x v="11"/>
    <x v="1"/>
    <m/>
    <n v="0"/>
    <n v="1"/>
    <n v="1090"/>
    <n v="10"/>
    <x v="3"/>
    <x v="0"/>
    <n v="4"/>
    <n v="83"/>
    <n v="3"/>
    <n v="1"/>
    <x v="1"/>
    <n v="2297"/>
    <n v="17967"/>
    <n v="1"/>
    <n v="14"/>
    <n v="3"/>
    <n v="4"/>
    <n v="80"/>
    <n v="2"/>
    <n v="2"/>
    <n v="3"/>
    <n v="2"/>
    <n v="2"/>
    <n v="2"/>
    <n v="2"/>
  </r>
  <r>
    <s v="No"/>
    <s v="Travel_Rarely"/>
    <x v="1"/>
    <s v="Current Employees"/>
    <x v="1"/>
    <x v="0"/>
    <x v="556"/>
    <x v="556"/>
    <x v="1"/>
    <x v="2"/>
    <x v="0"/>
    <s v="No"/>
    <s v="Y"/>
    <n v="4"/>
    <n v="-2"/>
    <n v="0"/>
    <x v="16"/>
    <x v="1"/>
    <m/>
    <n v="0"/>
    <n v="1"/>
    <n v="346"/>
    <n v="6"/>
    <x v="3"/>
    <x v="0"/>
    <n v="4"/>
    <n v="86"/>
    <n v="3"/>
    <n v="2"/>
    <x v="0"/>
    <n v="2450"/>
    <n v="10919"/>
    <n v="2"/>
    <n v="17"/>
    <n v="3"/>
    <n v="4"/>
    <n v="80"/>
    <n v="0"/>
    <n v="19"/>
    <n v="3"/>
    <n v="2"/>
    <n v="2"/>
    <n v="2"/>
    <n v="2"/>
  </r>
  <r>
    <s v="No"/>
    <s v="Non-Travel"/>
    <x v="0"/>
    <s v="Current Employees"/>
    <x v="1"/>
    <x v="0"/>
    <x v="557"/>
    <x v="557"/>
    <x v="0"/>
    <x v="4"/>
    <x v="2"/>
    <s v="No"/>
    <s v="Y"/>
    <n v="2"/>
    <n v="-2"/>
    <n v="0"/>
    <x v="10"/>
    <x v="1"/>
    <m/>
    <n v="0"/>
    <n v="1"/>
    <n v="1225"/>
    <n v="2"/>
    <x v="2"/>
    <x v="0"/>
    <n v="4"/>
    <n v="61"/>
    <n v="3"/>
    <n v="2"/>
    <x v="3"/>
    <n v="5093"/>
    <n v="4761"/>
    <n v="2"/>
    <n v="11"/>
    <n v="3"/>
    <n v="1"/>
    <n v="80"/>
    <n v="1"/>
    <n v="16"/>
    <n v="4"/>
    <n v="1"/>
    <n v="0"/>
    <n v="0"/>
    <n v="0"/>
  </r>
  <r>
    <s v="No"/>
    <s v="Travel_Frequently"/>
    <x v="2"/>
    <s v="Current Employees"/>
    <x v="1"/>
    <x v="0"/>
    <x v="558"/>
    <x v="558"/>
    <x v="1"/>
    <x v="2"/>
    <x v="1"/>
    <s v="No"/>
    <s v="Y"/>
    <n v="2"/>
    <n v="-2"/>
    <n v="0"/>
    <x v="5"/>
    <x v="1"/>
    <m/>
    <n v="0"/>
    <n v="1"/>
    <n v="430"/>
    <n v="24"/>
    <x v="2"/>
    <x v="0"/>
    <n v="1"/>
    <n v="80"/>
    <n v="3"/>
    <n v="2"/>
    <x v="3"/>
    <n v="5309"/>
    <n v="21146"/>
    <n v="1"/>
    <n v="15"/>
    <n v="3"/>
    <n v="4"/>
    <n v="80"/>
    <n v="2"/>
    <n v="10"/>
    <n v="3"/>
    <n v="10"/>
    <n v="8"/>
    <n v="4"/>
    <n v="7"/>
  </r>
  <r>
    <s v="No"/>
    <s v="Travel_Rarely"/>
    <x v="0"/>
    <s v="Current Employees"/>
    <x v="1"/>
    <x v="2"/>
    <x v="559"/>
    <x v="559"/>
    <x v="1"/>
    <x v="1"/>
    <x v="1"/>
    <s v="Yes"/>
    <s v="Y"/>
    <n v="0"/>
    <n v="-2"/>
    <n v="0"/>
    <x v="8"/>
    <x v="1"/>
    <m/>
    <n v="0"/>
    <n v="1"/>
    <n v="268"/>
    <n v="2"/>
    <x v="4"/>
    <x v="0"/>
    <n v="4"/>
    <n v="92"/>
    <n v="3"/>
    <n v="1"/>
    <x v="2"/>
    <n v="3057"/>
    <n v="20471"/>
    <n v="6"/>
    <n v="13"/>
    <n v="3"/>
    <n v="2"/>
    <n v="80"/>
    <n v="1"/>
    <n v="6"/>
    <n v="1"/>
    <n v="1"/>
    <n v="0"/>
    <n v="0"/>
    <n v="1"/>
  </r>
  <r>
    <s v="No"/>
    <s v="Travel_Rarely"/>
    <x v="2"/>
    <s v="Current Employees"/>
    <x v="1"/>
    <x v="0"/>
    <x v="560"/>
    <x v="560"/>
    <x v="0"/>
    <x v="3"/>
    <x v="2"/>
    <s v="No"/>
    <s v="Y"/>
    <n v="3"/>
    <n v="-2"/>
    <n v="0"/>
    <x v="13"/>
    <x v="1"/>
    <m/>
    <n v="0"/>
    <n v="1"/>
    <n v="167"/>
    <n v="8"/>
    <x v="4"/>
    <x v="0"/>
    <n v="2"/>
    <n v="32"/>
    <n v="3"/>
    <n v="2"/>
    <x v="3"/>
    <n v="5121"/>
    <n v="4187"/>
    <n v="3"/>
    <n v="14"/>
    <n v="3"/>
    <n v="3"/>
    <n v="80"/>
    <n v="1"/>
    <n v="7"/>
    <n v="3"/>
    <n v="0"/>
    <n v="0"/>
    <n v="0"/>
    <n v="0"/>
  </r>
  <r>
    <s v="No"/>
    <s v="Travel_Rarely"/>
    <x v="1"/>
    <s v="Current Employees"/>
    <x v="0"/>
    <x v="3"/>
    <x v="561"/>
    <x v="561"/>
    <x v="1"/>
    <x v="5"/>
    <x v="1"/>
    <s v="No"/>
    <s v="Y"/>
    <n v="3"/>
    <n v="-2"/>
    <n v="0"/>
    <x v="39"/>
    <x v="1"/>
    <m/>
    <n v="0"/>
    <n v="1"/>
    <n v="621"/>
    <n v="3"/>
    <x v="2"/>
    <x v="0"/>
    <n v="3"/>
    <n v="31"/>
    <n v="2"/>
    <n v="4"/>
    <x v="1"/>
    <n v="16856"/>
    <n v="10084"/>
    <n v="1"/>
    <n v="11"/>
    <n v="3"/>
    <n v="1"/>
    <n v="80"/>
    <n v="0"/>
    <n v="34"/>
    <n v="4"/>
    <n v="34"/>
    <n v="6"/>
    <n v="1"/>
    <n v="16"/>
  </r>
  <r>
    <s v="Yes"/>
    <s v="Travel_Rarely"/>
    <x v="2"/>
    <s v="Ex-Employees"/>
    <x v="1"/>
    <x v="1"/>
    <x v="562"/>
    <x v="562"/>
    <x v="1"/>
    <x v="1"/>
    <x v="0"/>
    <s v="Yes"/>
    <s v="Y"/>
    <n v="2"/>
    <n v="-2"/>
    <n v="0"/>
    <x v="3"/>
    <x v="0"/>
    <n v="1"/>
    <n v="1"/>
    <n v="0"/>
    <n v="527"/>
    <n v="1"/>
    <x v="2"/>
    <x v="0"/>
    <n v="4"/>
    <n v="63"/>
    <n v="3"/>
    <n v="1"/>
    <x v="0"/>
    <n v="2686"/>
    <n v="5207"/>
    <n v="1"/>
    <n v="13"/>
    <n v="3"/>
    <n v="3"/>
    <n v="80"/>
    <n v="0"/>
    <n v="10"/>
    <n v="2"/>
    <n v="10"/>
    <n v="9"/>
    <n v="7"/>
    <n v="8"/>
  </r>
  <r>
    <s v="No"/>
    <s v="Travel_Rarely"/>
    <x v="2"/>
    <s v="Current Employees"/>
    <x v="0"/>
    <x v="2"/>
    <x v="563"/>
    <x v="563"/>
    <x v="0"/>
    <x v="0"/>
    <x v="0"/>
    <s v="No"/>
    <s v="Y"/>
    <n v="5"/>
    <n v="-2"/>
    <n v="0"/>
    <x v="36"/>
    <x v="1"/>
    <m/>
    <n v="0"/>
    <n v="1"/>
    <n v="883"/>
    <n v="26"/>
    <x v="1"/>
    <x v="0"/>
    <n v="3"/>
    <n v="32"/>
    <n v="3"/>
    <n v="2"/>
    <x v="0"/>
    <n v="6180"/>
    <n v="22807"/>
    <n v="1"/>
    <n v="23"/>
    <n v="4"/>
    <n v="2"/>
    <n v="80"/>
    <n v="0"/>
    <n v="6"/>
    <n v="2"/>
    <n v="6"/>
    <n v="5"/>
    <n v="1"/>
    <n v="4"/>
  </r>
  <r>
    <s v="No"/>
    <s v="Travel_Rarely"/>
    <x v="1"/>
    <s v="Current Employees"/>
    <x v="0"/>
    <x v="4"/>
    <x v="564"/>
    <x v="564"/>
    <x v="1"/>
    <x v="6"/>
    <x v="0"/>
    <s v="No"/>
    <s v="Y"/>
    <n v="3"/>
    <n v="-2"/>
    <n v="0"/>
    <x v="28"/>
    <x v="1"/>
    <m/>
    <n v="0"/>
    <n v="1"/>
    <n v="954"/>
    <n v="2"/>
    <x v="0"/>
    <x v="0"/>
    <n v="4"/>
    <n v="46"/>
    <n v="1"/>
    <n v="2"/>
    <x v="0"/>
    <n v="6632"/>
    <n v="12388"/>
    <n v="0"/>
    <n v="13"/>
    <n v="3"/>
    <n v="1"/>
    <n v="80"/>
    <n v="0"/>
    <n v="9"/>
    <n v="3"/>
    <n v="8"/>
    <n v="7"/>
    <n v="3"/>
    <n v="1"/>
  </r>
  <r>
    <s v="No"/>
    <s v="Travel_Rarely"/>
    <x v="4"/>
    <s v="Current Employees"/>
    <x v="1"/>
    <x v="2"/>
    <x v="565"/>
    <x v="565"/>
    <x v="1"/>
    <x v="1"/>
    <x v="0"/>
    <s v="No"/>
    <s v="Y"/>
    <n v="3"/>
    <n v="-2"/>
    <n v="0"/>
    <x v="30"/>
    <x v="1"/>
    <m/>
    <n v="0"/>
    <n v="1"/>
    <n v="310"/>
    <n v="10"/>
    <x v="1"/>
    <x v="0"/>
    <n v="1"/>
    <n v="79"/>
    <n v="4"/>
    <n v="1"/>
    <x v="2"/>
    <n v="3505"/>
    <n v="19630"/>
    <n v="1"/>
    <n v="18"/>
    <n v="3"/>
    <n v="4"/>
    <n v="80"/>
    <n v="0"/>
    <n v="2"/>
    <n v="3"/>
    <n v="2"/>
    <n v="2"/>
    <n v="0"/>
    <n v="2"/>
  </r>
  <r>
    <s v="Yes"/>
    <s v="Travel_Frequently"/>
    <x v="1"/>
    <s v="Ex-Employees"/>
    <x v="0"/>
    <x v="0"/>
    <x v="566"/>
    <x v="566"/>
    <x v="0"/>
    <x v="0"/>
    <x v="0"/>
    <s v="Yes"/>
    <s v="Y"/>
    <n v="2"/>
    <n v="-2"/>
    <n v="0"/>
    <x v="40"/>
    <x v="0"/>
    <n v="1"/>
    <n v="1"/>
    <n v="0"/>
    <n v="719"/>
    <n v="27"/>
    <x v="0"/>
    <x v="0"/>
    <n v="2"/>
    <n v="77"/>
    <n v="4"/>
    <n v="2"/>
    <x v="3"/>
    <n v="6397"/>
    <n v="10339"/>
    <n v="4"/>
    <n v="12"/>
    <n v="3"/>
    <n v="4"/>
    <n v="80"/>
    <n v="0"/>
    <n v="8"/>
    <n v="3"/>
    <n v="5"/>
    <n v="4"/>
    <n v="1"/>
    <n v="3"/>
  </r>
  <r>
    <s v="No"/>
    <s v="Travel_Rarely"/>
    <x v="2"/>
    <s v="Current Employees"/>
    <x v="0"/>
    <x v="1"/>
    <x v="567"/>
    <x v="567"/>
    <x v="1"/>
    <x v="0"/>
    <x v="0"/>
    <s v="No"/>
    <s v="Y"/>
    <n v="5"/>
    <n v="-2"/>
    <n v="0"/>
    <x v="13"/>
    <x v="1"/>
    <m/>
    <n v="0"/>
    <n v="1"/>
    <n v="304"/>
    <n v="2"/>
    <x v="3"/>
    <x v="0"/>
    <n v="4"/>
    <n v="60"/>
    <n v="3"/>
    <n v="2"/>
    <x v="0"/>
    <n v="6274"/>
    <n v="18686"/>
    <n v="1"/>
    <n v="22"/>
    <n v="4"/>
    <n v="3"/>
    <n v="80"/>
    <n v="0"/>
    <n v="6"/>
    <n v="3"/>
    <n v="6"/>
    <n v="5"/>
    <n v="1"/>
    <n v="4"/>
  </r>
  <r>
    <s v="Yes"/>
    <s v="Travel_Rarely"/>
    <x v="3"/>
    <s v="Ex-Employees"/>
    <x v="1"/>
    <x v="2"/>
    <x v="568"/>
    <x v="568"/>
    <x v="1"/>
    <x v="5"/>
    <x v="1"/>
    <s v="Yes"/>
    <s v="Y"/>
    <n v="2"/>
    <n v="-2"/>
    <n v="0"/>
    <x v="27"/>
    <x v="0"/>
    <n v="1"/>
    <n v="1"/>
    <n v="0"/>
    <n v="725"/>
    <n v="2"/>
    <x v="3"/>
    <x v="0"/>
    <n v="4"/>
    <n v="78"/>
    <n v="3"/>
    <n v="5"/>
    <x v="2"/>
    <n v="19859"/>
    <n v="21199"/>
    <n v="5"/>
    <n v="13"/>
    <n v="3"/>
    <n v="4"/>
    <n v="80"/>
    <n v="1"/>
    <n v="24"/>
    <n v="3"/>
    <n v="5"/>
    <n v="2"/>
    <n v="1"/>
    <n v="4"/>
  </r>
  <r>
    <s v="No"/>
    <s v="Non-Travel"/>
    <x v="0"/>
    <s v="Current Employees"/>
    <x v="0"/>
    <x v="0"/>
    <x v="569"/>
    <x v="569"/>
    <x v="1"/>
    <x v="0"/>
    <x v="0"/>
    <s v="No"/>
    <s v="Y"/>
    <n v="1"/>
    <n v="-2"/>
    <n v="0"/>
    <x v="9"/>
    <x v="1"/>
    <m/>
    <n v="0"/>
    <n v="1"/>
    <n v="1434"/>
    <n v="8"/>
    <x v="2"/>
    <x v="0"/>
    <n v="1"/>
    <n v="76"/>
    <n v="2"/>
    <n v="3"/>
    <x v="3"/>
    <n v="7587"/>
    <n v="14229"/>
    <n v="1"/>
    <n v="15"/>
    <n v="3"/>
    <n v="2"/>
    <n v="80"/>
    <n v="0"/>
    <n v="10"/>
    <n v="3"/>
    <n v="10"/>
    <n v="7"/>
    <n v="0"/>
    <n v="9"/>
  </r>
  <r>
    <s v="No"/>
    <s v="Non-Travel"/>
    <x v="1"/>
    <s v="Current Employees"/>
    <x v="1"/>
    <x v="2"/>
    <x v="570"/>
    <x v="570"/>
    <x v="1"/>
    <x v="1"/>
    <x v="1"/>
    <s v="No"/>
    <s v="Y"/>
    <n v="3"/>
    <n v="-2"/>
    <n v="0"/>
    <x v="39"/>
    <x v="1"/>
    <m/>
    <n v="0"/>
    <n v="1"/>
    <n v="715"/>
    <n v="19"/>
    <x v="2"/>
    <x v="0"/>
    <n v="4"/>
    <n v="41"/>
    <n v="3"/>
    <n v="1"/>
    <x v="0"/>
    <n v="4258"/>
    <n v="26589"/>
    <n v="0"/>
    <n v="18"/>
    <n v="3"/>
    <n v="1"/>
    <n v="80"/>
    <n v="1"/>
    <n v="5"/>
    <n v="3"/>
    <n v="4"/>
    <n v="3"/>
    <n v="1"/>
    <n v="2"/>
  </r>
  <r>
    <s v="No"/>
    <s v="Travel_Frequently"/>
    <x v="2"/>
    <s v="Current Employees"/>
    <x v="1"/>
    <x v="0"/>
    <x v="571"/>
    <x v="571"/>
    <x v="0"/>
    <x v="2"/>
    <x v="2"/>
    <s v="No"/>
    <s v="Y"/>
    <n v="2"/>
    <n v="-2"/>
    <n v="0"/>
    <x v="25"/>
    <x v="1"/>
    <m/>
    <n v="0"/>
    <n v="1"/>
    <n v="575"/>
    <n v="1"/>
    <x v="0"/>
    <x v="0"/>
    <n v="1"/>
    <n v="71"/>
    <n v="1"/>
    <n v="1"/>
    <x v="3"/>
    <n v="4364"/>
    <n v="5288"/>
    <n v="3"/>
    <n v="14"/>
    <n v="3"/>
    <n v="1"/>
    <n v="80"/>
    <n v="1"/>
    <n v="5"/>
    <n v="3"/>
    <n v="2"/>
    <n v="2"/>
    <n v="2"/>
    <n v="0"/>
  </r>
  <r>
    <s v="No"/>
    <s v="Travel_Rarely"/>
    <x v="2"/>
    <s v="Current Employees"/>
    <x v="1"/>
    <x v="2"/>
    <x v="572"/>
    <x v="572"/>
    <x v="0"/>
    <x v="4"/>
    <x v="1"/>
    <s v="No"/>
    <s v="Y"/>
    <n v="3"/>
    <n v="-2"/>
    <n v="0"/>
    <x v="11"/>
    <x v="1"/>
    <m/>
    <n v="0"/>
    <n v="1"/>
    <n v="657"/>
    <n v="27"/>
    <x v="3"/>
    <x v="0"/>
    <n v="2"/>
    <n v="66"/>
    <n v="3"/>
    <n v="2"/>
    <x v="2"/>
    <n v="4335"/>
    <n v="25549"/>
    <n v="4"/>
    <n v="12"/>
    <n v="3"/>
    <n v="1"/>
    <n v="80"/>
    <n v="1"/>
    <n v="11"/>
    <n v="2"/>
    <n v="8"/>
    <n v="7"/>
    <n v="1"/>
    <n v="1"/>
  </r>
  <r>
    <s v="Yes"/>
    <s v="Travel_Rarely"/>
    <x v="2"/>
    <s v="Ex-Employees"/>
    <x v="0"/>
    <x v="4"/>
    <x v="573"/>
    <x v="573"/>
    <x v="1"/>
    <x v="0"/>
    <x v="0"/>
    <s v="No"/>
    <s v="Y"/>
    <n v="2"/>
    <n v="-2"/>
    <n v="0"/>
    <x v="25"/>
    <x v="0"/>
    <n v="1"/>
    <n v="1"/>
    <n v="0"/>
    <n v="1146"/>
    <n v="8"/>
    <x v="3"/>
    <x v="0"/>
    <n v="4"/>
    <n v="38"/>
    <n v="2"/>
    <n v="2"/>
    <x v="0"/>
    <n v="5326"/>
    <n v="3064"/>
    <n v="6"/>
    <n v="17"/>
    <n v="3"/>
    <n v="3"/>
    <n v="80"/>
    <n v="0"/>
    <n v="6"/>
    <n v="2"/>
    <n v="4"/>
    <n v="3"/>
    <n v="1"/>
    <n v="2"/>
  </r>
  <r>
    <s v="No"/>
    <s v="Travel_Rarely"/>
    <x v="2"/>
    <s v="Current Employees"/>
    <x v="1"/>
    <x v="0"/>
    <x v="574"/>
    <x v="574"/>
    <x v="0"/>
    <x v="1"/>
    <x v="0"/>
    <s v="No"/>
    <s v="Y"/>
    <n v="2"/>
    <n v="-2"/>
    <n v="0"/>
    <x v="13"/>
    <x v="1"/>
    <m/>
    <n v="0"/>
    <n v="1"/>
    <n v="182"/>
    <n v="1"/>
    <x v="2"/>
    <x v="0"/>
    <n v="2"/>
    <n v="72"/>
    <n v="4"/>
    <n v="1"/>
    <x v="3"/>
    <n v="3280"/>
    <n v="13551"/>
    <n v="2"/>
    <n v="16"/>
    <n v="3"/>
    <n v="3"/>
    <n v="80"/>
    <n v="0"/>
    <n v="10"/>
    <n v="3"/>
    <n v="4"/>
    <n v="2"/>
    <n v="1"/>
    <n v="3"/>
  </r>
  <r>
    <s v="No"/>
    <s v="Travel_Rarely"/>
    <x v="1"/>
    <s v="Current Employees"/>
    <x v="1"/>
    <x v="2"/>
    <x v="575"/>
    <x v="575"/>
    <x v="0"/>
    <x v="3"/>
    <x v="2"/>
    <s v="Yes"/>
    <s v="Y"/>
    <n v="4"/>
    <n v="-2"/>
    <n v="0"/>
    <x v="33"/>
    <x v="1"/>
    <m/>
    <n v="0"/>
    <n v="1"/>
    <n v="376"/>
    <n v="19"/>
    <x v="2"/>
    <x v="0"/>
    <n v="4"/>
    <n v="95"/>
    <n v="3"/>
    <n v="2"/>
    <x v="2"/>
    <n v="5485"/>
    <n v="22670"/>
    <n v="9"/>
    <n v="11"/>
    <n v="3"/>
    <n v="2"/>
    <n v="80"/>
    <n v="2"/>
    <n v="9"/>
    <n v="3"/>
    <n v="5"/>
    <n v="3"/>
    <n v="1"/>
    <n v="4"/>
  </r>
  <r>
    <s v="No"/>
    <s v="Travel_Frequently"/>
    <x v="2"/>
    <s v="Current Employees"/>
    <x v="0"/>
    <x v="3"/>
    <x v="576"/>
    <x v="576"/>
    <x v="1"/>
    <x v="0"/>
    <x v="1"/>
    <s v="No"/>
    <s v="Y"/>
    <n v="3"/>
    <n v="-2"/>
    <n v="0"/>
    <x v="4"/>
    <x v="1"/>
    <m/>
    <n v="0"/>
    <n v="1"/>
    <n v="829"/>
    <n v="8"/>
    <x v="1"/>
    <x v="0"/>
    <n v="3"/>
    <n v="84"/>
    <n v="3"/>
    <n v="2"/>
    <x v="1"/>
    <n v="4342"/>
    <n v="24008"/>
    <n v="0"/>
    <n v="19"/>
    <n v="3"/>
    <n v="2"/>
    <n v="80"/>
    <n v="1"/>
    <n v="5"/>
    <n v="3"/>
    <n v="4"/>
    <n v="2"/>
    <n v="1"/>
    <n v="1"/>
  </r>
  <r>
    <s v="No"/>
    <s v="Travel_Rarely"/>
    <x v="0"/>
    <s v="Current Employees"/>
    <x v="1"/>
    <x v="0"/>
    <x v="577"/>
    <x v="577"/>
    <x v="0"/>
    <x v="1"/>
    <x v="2"/>
    <s v="Yes"/>
    <s v="Y"/>
    <n v="3"/>
    <n v="-2"/>
    <n v="0"/>
    <x v="2"/>
    <x v="1"/>
    <m/>
    <n v="0"/>
    <n v="1"/>
    <n v="571"/>
    <n v="10"/>
    <x v="1"/>
    <x v="0"/>
    <n v="4"/>
    <n v="82"/>
    <n v="3"/>
    <n v="1"/>
    <x v="3"/>
    <n v="2782"/>
    <n v="19905"/>
    <n v="0"/>
    <n v="13"/>
    <n v="3"/>
    <n v="2"/>
    <n v="80"/>
    <n v="2"/>
    <n v="6"/>
    <n v="2"/>
    <n v="5"/>
    <n v="3"/>
    <n v="4"/>
    <n v="3"/>
  </r>
  <r>
    <s v="No"/>
    <s v="Travel_Frequently"/>
    <x v="0"/>
    <s v="Current Employees"/>
    <x v="1"/>
    <x v="0"/>
    <x v="578"/>
    <x v="578"/>
    <x v="0"/>
    <x v="3"/>
    <x v="0"/>
    <s v="Yes"/>
    <s v="Y"/>
    <n v="2"/>
    <n v="-2"/>
    <n v="0"/>
    <x v="8"/>
    <x v="1"/>
    <m/>
    <n v="0"/>
    <n v="1"/>
    <n v="240"/>
    <n v="2"/>
    <x v="2"/>
    <x v="0"/>
    <n v="1"/>
    <n v="75"/>
    <n v="4"/>
    <n v="2"/>
    <x v="3"/>
    <n v="5980"/>
    <n v="26085"/>
    <n v="6"/>
    <n v="12"/>
    <n v="3"/>
    <n v="4"/>
    <n v="80"/>
    <n v="0"/>
    <n v="17"/>
    <n v="3"/>
    <n v="15"/>
    <n v="7"/>
    <n v="4"/>
    <n v="12"/>
  </r>
  <r>
    <s v="No"/>
    <s v="Travel_Rarely"/>
    <x v="2"/>
    <s v="Current Employees"/>
    <x v="1"/>
    <x v="2"/>
    <x v="579"/>
    <x v="579"/>
    <x v="0"/>
    <x v="1"/>
    <x v="0"/>
    <s v="No"/>
    <s v="Y"/>
    <n v="3"/>
    <n v="-2"/>
    <n v="0"/>
    <x v="13"/>
    <x v="1"/>
    <m/>
    <n v="0"/>
    <n v="1"/>
    <n v="121"/>
    <n v="2"/>
    <x v="2"/>
    <x v="0"/>
    <n v="3"/>
    <n v="86"/>
    <n v="2"/>
    <n v="1"/>
    <x v="2"/>
    <n v="4381"/>
    <n v="7530"/>
    <n v="1"/>
    <n v="11"/>
    <n v="3"/>
    <n v="3"/>
    <n v="80"/>
    <n v="0"/>
    <n v="6"/>
    <n v="3"/>
    <n v="6"/>
    <n v="5"/>
    <n v="1"/>
    <n v="3"/>
  </r>
  <r>
    <s v="No"/>
    <s v="Travel_Rarely"/>
    <x v="0"/>
    <s v="Current Employees"/>
    <x v="0"/>
    <x v="0"/>
    <x v="580"/>
    <x v="580"/>
    <x v="0"/>
    <x v="6"/>
    <x v="1"/>
    <s v="No"/>
    <s v="Y"/>
    <n v="1"/>
    <n v="-2"/>
    <n v="0"/>
    <x v="10"/>
    <x v="1"/>
    <m/>
    <n v="0"/>
    <n v="1"/>
    <n v="384"/>
    <n v="8"/>
    <x v="2"/>
    <x v="0"/>
    <n v="1"/>
    <n v="72"/>
    <n v="3"/>
    <n v="1"/>
    <x v="3"/>
    <n v="2572"/>
    <n v="20317"/>
    <n v="1"/>
    <n v="16"/>
    <n v="3"/>
    <n v="2"/>
    <n v="80"/>
    <n v="1"/>
    <n v="3"/>
    <n v="2"/>
    <n v="3"/>
    <n v="2"/>
    <n v="0"/>
    <n v="2"/>
  </r>
  <r>
    <s v="No"/>
    <s v="Travel_Rarely"/>
    <x v="2"/>
    <s v="Current Employees"/>
    <x v="1"/>
    <x v="0"/>
    <x v="581"/>
    <x v="581"/>
    <x v="1"/>
    <x v="2"/>
    <x v="1"/>
    <s v="No"/>
    <s v="Y"/>
    <n v="2"/>
    <n v="-2"/>
    <n v="0"/>
    <x v="7"/>
    <x v="1"/>
    <m/>
    <n v="0"/>
    <n v="1"/>
    <n v="921"/>
    <n v="1"/>
    <x v="3"/>
    <x v="0"/>
    <n v="4"/>
    <n v="38"/>
    <n v="1"/>
    <n v="1"/>
    <x v="3"/>
    <n v="3833"/>
    <n v="24375"/>
    <n v="3"/>
    <n v="21"/>
    <n v="4"/>
    <n v="3"/>
    <n v="80"/>
    <n v="2"/>
    <n v="7"/>
    <n v="3"/>
    <n v="2"/>
    <n v="2"/>
    <n v="0"/>
    <n v="2"/>
  </r>
  <r>
    <s v="No"/>
    <s v="Travel_Frequently"/>
    <x v="0"/>
    <s v="Current Employees"/>
    <x v="1"/>
    <x v="2"/>
    <x v="582"/>
    <x v="582"/>
    <x v="0"/>
    <x v="4"/>
    <x v="1"/>
    <s v="No"/>
    <s v="Y"/>
    <n v="2"/>
    <n v="-2"/>
    <n v="0"/>
    <x v="32"/>
    <x v="1"/>
    <m/>
    <n v="0"/>
    <n v="1"/>
    <n v="791"/>
    <n v="2"/>
    <x v="0"/>
    <x v="0"/>
    <n v="3"/>
    <n v="38"/>
    <n v="4"/>
    <n v="2"/>
    <x v="2"/>
    <n v="4244"/>
    <n v="9931"/>
    <n v="1"/>
    <n v="24"/>
    <n v="4"/>
    <n v="4"/>
    <n v="80"/>
    <n v="1"/>
    <n v="8"/>
    <n v="3"/>
    <n v="8"/>
    <n v="7"/>
    <n v="3"/>
    <n v="7"/>
  </r>
  <r>
    <s v="No"/>
    <s v="Travel_Rarely"/>
    <x v="2"/>
    <s v="Current Employees"/>
    <x v="0"/>
    <x v="0"/>
    <x v="583"/>
    <x v="583"/>
    <x v="0"/>
    <x v="0"/>
    <x v="1"/>
    <s v="No"/>
    <s v="Y"/>
    <n v="1"/>
    <n v="-2"/>
    <n v="0"/>
    <x v="13"/>
    <x v="1"/>
    <m/>
    <n v="0"/>
    <n v="1"/>
    <n v="1111"/>
    <n v="8"/>
    <x v="0"/>
    <x v="0"/>
    <n v="3"/>
    <n v="93"/>
    <n v="3"/>
    <n v="2"/>
    <x v="3"/>
    <n v="6500"/>
    <n v="13305"/>
    <n v="5"/>
    <n v="17"/>
    <n v="3"/>
    <n v="2"/>
    <n v="80"/>
    <n v="1"/>
    <n v="6"/>
    <n v="3"/>
    <n v="3"/>
    <n v="2"/>
    <n v="1"/>
    <n v="2"/>
  </r>
  <r>
    <s v="No"/>
    <s v="Travel_Frequently"/>
    <x v="0"/>
    <s v="Current Employees"/>
    <x v="1"/>
    <x v="0"/>
    <x v="584"/>
    <x v="584"/>
    <x v="1"/>
    <x v="5"/>
    <x v="2"/>
    <s v="No"/>
    <s v="Y"/>
    <n v="4"/>
    <n v="-2"/>
    <n v="0"/>
    <x v="19"/>
    <x v="1"/>
    <m/>
    <n v="0"/>
    <n v="1"/>
    <n v="570"/>
    <n v="8"/>
    <x v="3"/>
    <x v="0"/>
    <n v="2"/>
    <n v="66"/>
    <n v="3"/>
    <n v="5"/>
    <x v="3"/>
    <n v="18430"/>
    <n v="16225"/>
    <n v="1"/>
    <n v="13"/>
    <n v="3"/>
    <n v="2"/>
    <n v="80"/>
    <n v="1"/>
    <n v="24"/>
    <n v="2"/>
    <n v="24"/>
    <n v="7"/>
    <n v="14"/>
    <n v="9"/>
  </r>
  <r>
    <s v="Yes"/>
    <s v="Travel_Rarely"/>
    <x v="4"/>
    <s v="Ex-Employees"/>
    <x v="1"/>
    <x v="0"/>
    <x v="585"/>
    <x v="585"/>
    <x v="1"/>
    <x v="2"/>
    <x v="1"/>
    <s v="Yes"/>
    <s v="Y"/>
    <n v="2"/>
    <n v="-2"/>
    <n v="0"/>
    <x v="30"/>
    <x v="0"/>
    <n v="1"/>
    <n v="1"/>
    <n v="0"/>
    <n v="1243"/>
    <n v="6"/>
    <x v="3"/>
    <x v="0"/>
    <n v="3"/>
    <n v="63"/>
    <n v="4"/>
    <n v="1"/>
    <x v="3"/>
    <n v="1601"/>
    <n v="3445"/>
    <n v="1"/>
    <n v="21"/>
    <n v="4"/>
    <n v="3"/>
    <n v="80"/>
    <n v="2"/>
    <n v="1"/>
    <n v="3"/>
    <n v="0"/>
    <n v="0"/>
    <n v="0"/>
    <n v="0"/>
  </r>
  <r>
    <s v="No"/>
    <s v="Non-Travel"/>
    <x v="4"/>
    <s v="Current Employees"/>
    <x v="1"/>
    <x v="0"/>
    <x v="586"/>
    <x v="586"/>
    <x v="1"/>
    <x v="2"/>
    <x v="2"/>
    <s v="No"/>
    <s v="Y"/>
    <n v="4"/>
    <n v="-2"/>
    <n v="0"/>
    <x v="17"/>
    <x v="1"/>
    <m/>
    <n v="0"/>
    <n v="1"/>
    <n v="1092"/>
    <n v="9"/>
    <x v="3"/>
    <x v="0"/>
    <n v="3"/>
    <n v="60"/>
    <n v="2"/>
    <n v="1"/>
    <x v="3"/>
    <n v="2694"/>
    <n v="26551"/>
    <n v="1"/>
    <n v="11"/>
    <n v="3"/>
    <n v="3"/>
    <n v="80"/>
    <n v="3"/>
    <n v="1"/>
    <n v="3"/>
    <n v="1"/>
    <n v="0"/>
    <n v="0"/>
    <n v="0"/>
  </r>
  <r>
    <s v="No"/>
    <s v="Travel_Rarely"/>
    <x v="1"/>
    <s v="Current Employees"/>
    <x v="1"/>
    <x v="0"/>
    <x v="587"/>
    <x v="587"/>
    <x v="0"/>
    <x v="2"/>
    <x v="1"/>
    <s v="No"/>
    <s v="Y"/>
    <n v="3"/>
    <n v="-2"/>
    <n v="0"/>
    <x v="39"/>
    <x v="1"/>
    <m/>
    <n v="0"/>
    <n v="1"/>
    <n v="1325"/>
    <n v="11"/>
    <x v="2"/>
    <x v="0"/>
    <n v="4"/>
    <n v="82"/>
    <n v="3"/>
    <n v="2"/>
    <x v="3"/>
    <n v="3149"/>
    <n v="21821"/>
    <n v="8"/>
    <n v="20"/>
    <n v="4"/>
    <n v="2"/>
    <n v="80"/>
    <n v="1"/>
    <n v="9"/>
    <n v="3"/>
    <n v="5"/>
    <n v="2"/>
    <n v="1"/>
    <n v="4"/>
  </r>
  <r>
    <s v="No"/>
    <s v="Travel_Rarely"/>
    <x v="1"/>
    <s v="Current Employees"/>
    <x v="1"/>
    <x v="2"/>
    <x v="588"/>
    <x v="588"/>
    <x v="1"/>
    <x v="7"/>
    <x v="1"/>
    <s v="No"/>
    <s v="Y"/>
    <n v="3"/>
    <n v="-2"/>
    <n v="0"/>
    <x v="24"/>
    <x v="1"/>
    <m/>
    <n v="0"/>
    <n v="1"/>
    <n v="691"/>
    <n v="2"/>
    <x v="3"/>
    <x v="0"/>
    <n v="3"/>
    <n v="64"/>
    <n v="3"/>
    <n v="4"/>
    <x v="2"/>
    <n v="17639"/>
    <n v="6881"/>
    <n v="5"/>
    <n v="16"/>
    <n v="3"/>
    <n v="4"/>
    <n v="80"/>
    <n v="0"/>
    <n v="30"/>
    <n v="3"/>
    <n v="4"/>
    <n v="3"/>
    <n v="0"/>
    <n v="3"/>
  </r>
  <r>
    <s v="Yes"/>
    <s v="Travel_Rarely"/>
    <x v="2"/>
    <s v="Ex-Employees"/>
    <x v="1"/>
    <x v="0"/>
    <x v="589"/>
    <x v="589"/>
    <x v="0"/>
    <x v="2"/>
    <x v="1"/>
    <s v="Yes"/>
    <s v="Y"/>
    <n v="1"/>
    <n v="-2"/>
    <n v="0"/>
    <x v="11"/>
    <x v="0"/>
    <n v="1"/>
    <n v="1"/>
    <n v="0"/>
    <n v="805"/>
    <n v="1"/>
    <x v="0"/>
    <x v="0"/>
    <n v="2"/>
    <n v="36"/>
    <n v="2"/>
    <n v="1"/>
    <x v="3"/>
    <n v="2319"/>
    <n v="6689"/>
    <n v="1"/>
    <n v="11"/>
    <n v="3"/>
    <n v="4"/>
    <n v="80"/>
    <n v="1"/>
    <n v="1"/>
    <n v="3"/>
    <n v="1"/>
    <n v="0"/>
    <n v="0"/>
    <n v="0"/>
  </r>
  <r>
    <s v="No"/>
    <s v="Travel_Rarely"/>
    <x v="2"/>
    <s v="Current Employees"/>
    <x v="1"/>
    <x v="2"/>
    <x v="590"/>
    <x v="590"/>
    <x v="1"/>
    <x v="7"/>
    <x v="1"/>
    <s v="No"/>
    <s v="Y"/>
    <n v="3"/>
    <n v="-2"/>
    <n v="0"/>
    <x v="3"/>
    <x v="1"/>
    <m/>
    <n v="0"/>
    <n v="1"/>
    <n v="213"/>
    <n v="7"/>
    <x v="3"/>
    <x v="0"/>
    <n v="3"/>
    <n v="49"/>
    <n v="3"/>
    <n v="3"/>
    <x v="2"/>
    <n v="11691"/>
    <n v="25995"/>
    <n v="0"/>
    <n v="11"/>
    <n v="3"/>
    <n v="4"/>
    <n v="80"/>
    <n v="0"/>
    <n v="14"/>
    <n v="4"/>
    <n v="13"/>
    <n v="9"/>
    <n v="3"/>
    <n v="7"/>
  </r>
  <r>
    <s v="Yes"/>
    <s v="Travel_Rarely"/>
    <x v="2"/>
    <s v="Ex-Employees"/>
    <x v="0"/>
    <x v="3"/>
    <x v="591"/>
    <x v="591"/>
    <x v="0"/>
    <x v="0"/>
    <x v="0"/>
    <s v="No"/>
    <s v="Y"/>
    <n v="3"/>
    <n v="-2"/>
    <n v="0"/>
    <x v="3"/>
    <x v="0"/>
    <n v="1"/>
    <n v="1"/>
    <n v="0"/>
    <n v="118"/>
    <n v="16"/>
    <x v="3"/>
    <x v="0"/>
    <n v="1"/>
    <n v="69"/>
    <n v="3"/>
    <n v="2"/>
    <x v="1"/>
    <n v="5324"/>
    <n v="26507"/>
    <n v="5"/>
    <n v="15"/>
    <n v="3"/>
    <n v="3"/>
    <n v="80"/>
    <n v="0"/>
    <n v="6"/>
    <n v="3"/>
    <n v="3"/>
    <n v="2"/>
    <n v="0"/>
    <n v="2"/>
  </r>
  <r>
    <s v="No"/>
    <s v="Travel_Rarely"/>
    <x v="1"/>
    <s v="Current Employees"/>
    <x v="1"/>
    <x v="1"/>
    <x v="592"/>
    <x v="592"/>
    <x v="0"/>
    <x v="5"/>
    <x v="1"/>
    <s v="Yes"/>
    <s v="Y"/>
    <n v="3"/>
    <n v="-2"/>
    <n v="0"/>
    <x v="40"/>
    <x v="1"/>
    <m/>
    <n v="0"/>
    <n v="1"/>
    <n v="202"/>
    <n v="2"/>
    <x v="0"/>
    <x v="0"/>
    <n v="3"/>
    <n v="33"/>
    <n v="3"/>
    <n v="4"/>
    <x v="0"/>
    <n v="16752"/>
    <n v="12982"/>
    <n v="1"/>
    <n v="11"/>
    <n v="3"/>
    <n v="3"/>
    <n v="80"/>
    <n v="1"/>
    <n v="26"/>
    <n v="2"/>
    <n v="26"/>
    <n v="14"/>
    <n v="3"/>
    <n v="0"/>
  </r>
  <r>
    <s v="No"/>
    <s v="Travel_Rarely"/>
    <x v="0"/>
    <s v="Current Employees"/>
    <x v="1"/>
    <x v="1"/>
    <x v="593"/>
    <x v="593"/>
    <x v="0"/>
    <x v="3"/>
    <x v="1"/>
    <s v="No"/>
    <s v="Y"/>
    <n v="2"/>
    <n v="-2"/>
    <n v="0"/>
    <x v="9"/>
    <x v="1"/>
    <m/>
    <n v="0"/>
    <n v="1"/>
    <n v="676"/>
    <n v="1"/>
    <x v="3"/>
    <x v="0"/>
    <n v="3"/>
    <n v="35"/>
    <n v="3"/>
    <n v="2"/>
    <x v="2"/>
    <n v="5228"/>
    <n v="23361"/>
    <n v="0"/>
    <n v="15"/>
    <n v="3"/>
    <n v="1"/>
    <n v="80"/>
    <n v="1"/>
    <n v="10"/>
    <n v="3"/>
    <n v="9"/>
    <n v="7"/>
    <n v="0"/>
    <n v="5"/>
  </r>
  <r>
    <s v="No"/>
    <s v="Travel_Rarely"/>
    <x v="2"/>
    <s v="Current Employees"/>
    <x v="1"/>
    <x v="0"/>
    <x v="594"/>
    <x v="594"/>
    <x v="1"/>
    <x v="1"/>
    <x v="1"/>
    <s v="No"/>
    <s v="Y"/>
    <n v="3"/>
    <n v="-2"/>
    <n v="0"/>
    <x v="11"/>
    <x v="1"/>
    <m/>
    <n v="0"/>
    <n v="1"/>
    <n v="1252"/>
    <n v="23"/>
    <x v="0"/>
    <x v="0"/>
    <n v="3"/>
    <n v="81"/>
    <n v="4"/>
    <n v="1"/>
    <x v="3"/>
    <n v="2700"/>
    <n v="23779"/>
    <n v="1"/>
    <n v="24"/>
    <n v="4"/>
    <n v="3"/>
    <n v="80"/>
    <n v="1"/>
    <n v="10"/>
    <n v="3"/>
    <n v="10"/>
    <n v="7"/>
    <n v="0"/>
    <n v="7"/>
  </r>
  <r>
    <s v="Yes"/>
    <s v="Travel_Rarely"/>
    <x v="3"/>
    <s v="Ex-Employees"/>
    <x v="1"/>
    <x v="0"/>
    <x v="595"/>
    <x v="595"/>
    <x v="1"/>
    <x v="7"/>
    <x v="0"/>
    <s v="Yes"/>
    <s v="Y"/>
    <n v="2"/>
    <n v="-2"/>
    <n v="0"/>
    <x v="34"/>
    <x v="0"/>
    <n v="1"/>
    <n v="1"/>
    <n v="0"/>
    <n v="286"/>
    <n v="2"/>
    <x v="2"/>
    <x v="0"/>
    <n v="4"/>
    <n v="31"/>
    <n v="3"/>
    <n v="5"/>
    <x v="3"/>
    <n v="19246"/>
    <n v="25761"/>
    <n v="7"/>
    <n v="12"/>
    <n v="3"/>
    <n v="4"/>
    <n v="80"/>
    <n v="0"/>
    <n v="40"/>
    <n v="3"/>
    <n v="31"/>
    <n v="15"/>
    <n v="13"/>
    <n v="8"/>
  </r>
  <r>
    <s v="No"/>
    <s v="Travel_Rarely"/>
    <x v="0"/>
    <s v="Current Employees"/>
    <x v="1"/>
    <x v="0"/>
    <x v="596"/>
    <x v="596"/>
    <x v="0"/>
    <x v="1"/>
    <x v="0"/>
    <s v="No"/>
    <s v="Y"/>
    <n v="0"/>
    <n v="-2"/>
    <n v="0"/>
    <x v="10"/>
    <x v="1"/>
    <m/>
    <n v="0"/>
    <n v="1"/>
    <n v="1258"/>
    <n v="1"/>
    <x v="2"/>
    <x v="0"/>
    <n v="4"/>
    <n v="40"/>
    <n v="4"/>
    <n v="1"/>
    <x v="3"/>
    <n v="2506"/>
    <n v="13301"/>
    <n v="3"/>
    <n v="13"/>
    <n v="3"/>
    <n v="3"/>
    <n v="80"/>
    <n v="0"/>
    <n v="7"/>
    <n v="3"/>
    <n v="2"/>
    <n v="2"/>
    <n v="2"/>
    <n v="2"/>
  </r>
  <r>
    <s v="No"/>
    <s v="Travel_Rarely"/>
    <x v="0"/>
    <s v="Current Employees"/>
    <x v="1"/>
    <x v="0"/>
    <x v="597"/>
    <x v="597"/>
    <x v="0"/>
    <x v="3"/>
    <x v="1"/>
    <s v="Yes"/>
    <s v="Y"/>
    <n v="4"/>
    <n v="-2"/>
    <n v="0"/>
    <x v="19"/>
    <x v="1"/>
    <m/>
    <n v="0"/>
    <n v="1"/>
    <n v="932"/>
    <n v="1"/>
    <x v="0"/>
    <x v="0"/>
    <n v="4"/>
    <n v="43"/>
    <n v="2"/>
    <n v="2"/>
    <x v="3"/>
    <n v="6062"/>
    <n v="4051"/>
    <n v="9"/>
    <n v="13"/>
    <n v="3"/>
    <n v="4"/>
    <n v="80"/>
    <n v="1"/>
    <n v="8"/>
    <n v="3"/>
    <n v="4"/>
    <n v="3"/>
    <n v="0"/>
    <n v="2"/>
  </r>
  <r>
    <s v="Yes"/>
    <s v="Travel_Rarely"/>
    <x v="2"/>
    <s v="Ex-Employees"/>
    <x v="1"/>
    <x v="2"/>
    <x v="598"/>
    <x v="598"/>
    <x v="1"/>
    <x v="1"/>
    <x v="0"/>
    <s v="No"/>
    <s v="Y"/>
    <n v="3"/>
    <n v="-2"/>
    <n v="0"/>
    <x v="14"/>
    <x v="0"/>
    <n v="1"/>
    <n v="1"/>
    <n v="0"/>
    <n v="890"/>
    <n v="2"/>
    <x v="2"/>
    <x v="0"/>
    <n v="3"/>
    <n v="46"/>
    <n v="3"/>
    <n v="1"/>
    <x v="2"/>
    <n v="4382"/>
    <n v="16374"/>
    <n v="6"/>
    <n v="17"/>
    <n v="3"/>
    <n v="4"/>
    <n v="80"/>
    <n v="0"/>
    <n v="5"/>
    <n v="2"/>
    <n v="2"/>
    <n v="2"/>
    <n v="2"/>
    <n v="1"/>
  </r>
  <r>
    <s v="No"/>
    <s v="Travel_Rarely"/>
    <x v="0"/>
    <s v="Current Employees"/>
    <x v="2"/>
    <x v="5"/>
    <x v="599"/>
    <x v="599"/>
    <x v="1"/>
    <x v="8"/>
    <x v="1"/>
    <s v="No"/>
    <s v="Y"/>
    <n v="2"/>
    <n v="-2"/>
    <n v="0"/>
    <x v="9"/>
    <x v="1"/>
    <m/>
    <n v="0"/>
    <n v="1"/>
    <n v="1041"/>
    <n v="13"/>
    <x v="3"/>
    <x v="0"/>
    <n v="3"/>
    <n v="36"/>
    <n v="3"/>
    <n v="1"/>
    <x v="2"/>
    <n v="2143"/>
    <n v="25527"/>
    <n v="4"/>
    <n v="13"/>
    <n v="3"/>
    <n v="2"/>
    <n v="80"/>
    <n v="1"/>
    <n v="8"/>
    <n v="3"/>
    <n v="5"/>
    <n v="2"/>
    <n v="0"/>
    <n v="4"/>
  </r>
  <r>
    <s v="No"/>
    <s v="Travel_Rarely"/>
    <x v="2"/>
    <s v="Current Employees"/>
    <x v="1"/>
    <x v="0"/>
    <x v="600"/>
    <x v="600"/>
    <x v="0"/>
    <x v="3"/>
    <x v="1"/>
    <s v="No"/>
    <s v="Y"/>
    <n v="3"/>
    <n v="-2"/>
    <n v="0"/>
    <x v="5"/>
    <x v="1"/>
    <m/>
    <n v="0"/>
    <n v="1"/>
    <n v="859"/>
    <n v="4"/>
    <x v="3"/>
    <x v="0"/>
    <n v="3"/>
    <n v="98"/>
    <n v="2"/>
    <n v="2"/>
    <x v="3"/>
    <n v="6162"/>
    <n v="19124"/>
    <n v="1"/>
    <n v="12"/>
    <n v="3"/>
    <n v="3"/>
    <n v="80"/>
    <n v="1"/>
    <n v="14"/>
    <n v="3"/>
    <n v="14"/>
    <n v="13"/>
    <n v="6"/>
    <n v="8"/>
  </r>
  <r>
    <s v="No"/>
    <s v="Travel_Frequently"/>
    <x v="0"/>
    <s v="Current Employees"/>
    <x v="1"/>
    <x v="2"/>
    <x v="601"/>
    <x v="601"/>
    <x v="1"/>
    <x v="2"/>
    <x v="0"/>
    <s v="No"/>
    <s v="Y"/>
    <n v="6"/>
    <n v="-2"/>
    <n v="0"/>
    <x v="32"/>
    <x v="1"/>
    <m/>
    <n v="0"/>
    <n v="1"/>
    <n v="720"/>
    <n v="16"/>
    <x v="2"/>
    <x v="0"/>
    <n v="1"/>
    <n v="51"/>
    <n v="2"/>
    <n v="2"/>
    <x v="2"/>
    <n v="5094"/>
    <n v="11983"/>
    <n v="6"/>
    <n v="14"/>
    <n v="3"/>
    <n v="4"/>
    <n v="80"/>
    <n v="0"/>
    <n v="10"/>
    <n v="3"/>
    <n v="1"/>
    <n v="0"/>
    <n v="0"/>
    <n v="0"/>
  </r>
  <r>
    <s v="No"/>
    <s v="Travel_Rarely"/>
    <x v="2"/>
    <s v="Current Employees"/>
    <x v="1"/>
    <x v="2"/>
    <x v="602"/>
    <x v="602"/>
    <x v="0"/>
    <x v="3"/>
    <x v="0"/>
    <s v="Yes"/>
    <s v="Y"/>
    <n v="4"/>
    <n v="-2"/>
    <n v="0"/>
    <x v="7"/>
    <x v="1"/>
    <m/>
    <n v="0"/>
    <n v="1"/>
    <n v="946"/>
    <n v="2"/>
    <x v="3"/>
    <x v="0"/>
    <n v="3"/>
    <n v="52"/>
    <n v="2"/>
    <n v="2"/>
    <x v="0"/>
    <n v="6877"/>
    <n v="20234"/>
    <n v="5"/>
    <n v="24"/>
    <n v="4"/>
    <n v="2"/>
    <n v="80"/>
    <n v="0"/>
    <n v="12"/>
    <n v="2"/>
    <n v="0"/>
    <n v="0"/>
    <n v="0"/>
    <n v="0"/>
  </r>
  <r>
    <s v="No"/>
    <s v="Travel_Rarely"/>
    <x v="1"/>
    <s v="Current Employees"/>
    <x v="1"/>
    <x v="0"/>
    <x v="603"/>
    <x v="603"/>
    <x v="0"/>
    <x v="1"/>
    <x v="0"/>
    <s v="No"/>
    <s v="Y"/>
    <n v="3"/>
    <n v="-2"/>
    <n v="0"/>
    <x v="28"/>
    <x v="1"/>
    <m/>
    <n v="0"/>
    <n v="1"/>
    <n v="252"/>
    <n v="2"/>
    <x v="3"/>
    <x v="0"/>
    <n v="2"/>
    <n v="95"/>
    <n v="2"/>
    <n v="1"/>
    <x v="3"/>
    <n v="2274"/>
    <n v="6153"/>
    <n v="1"/>
    <n v="14"/>
    <n v="3"/>
    <n v="4"/>
    <n v="80"/>
    <n v="0"/>
    <n v="1"/>
    <n v="3"/>
    <n v="1"/>
    <n v="0"/>
    <n v="0"/>
    <n v="0"/>
  </r>
  <r>
    <s v="No"/>
    <s v="Travel_Rarely"/>
    <x v="0"/>
    <s v="Current Employees"/>
    <x v="1"/>
    <x v="0"/>
    <x v="604"/>
    <x v="604"/>
    <x v="1"/>
    <x v="3"/>
    <x v="1"/>
    <s v="No"/>
    <s v="Y"/>
    <n v="3"/>
    <n v="-2"/>
    <n v="0"/>
    <x v="19"/>
    <x v="1"/>
    <m/>
    <n v="0"/>
    <n v="1"/>
    <n v="933"/>
    <n v="29"/>
    <x v="3"/>
    <x v="0"/>
    <n v="2"/>
    <n v="98"/>
    <n v="3"/>
    <n v="2"/>
    <x v="3"/>
    <n v="4434"/>
    <n v="11806"/>
    <n v="1"/>
    <n v="13"/>
    <n v="3"/>
    <n v="4"/>
    <n v="80"/>
    <n v="1"/>
    <n v="10"/>
    <n v="2"/>
    <n v="9"/>
    <n v="8"/>
    <n v="7"/>
    <n v="8"/>
  </r>
  <r>
    <s v="No"/>
    <s v="Travel_Frequently"/>
    <x v="0"/>
    <s v="Current Employees"/>
    <x v="1"/>
    <x v="0"/>
    <x v="605"/>
    <x v="605"/>
    <x v="1"/>
    <x v="4"/>
    <x v="2"/>
    <s v="No"/>
    <s v="Y"/>
    <n v="3"/>
    <n v="-2"/>
    <n v="0"/>
    <x v="8"/>
    <x v="1"/>
    <m/>
    <n v="0"/>
    <n v="1"/>
    <n v="471"/>
    <n v="12"/>
    <x v="3"/>
    <x v="0"/>
    <n v="1"/>
    <n v="45"/>
    <n v="2"/>
    <n v="2"/>
    <x v="3"/>
    <n v="6288"/>
    <n v="4284"/>
    <n v="2"/>
    <n v="15"/>
    <n v="3"/>
    <n v="3"/>
    <n v="80"/>
    <n v="1"/>
    <n v="13"/>
    <n v="2"/>
    <n v="4"/>
    <n v="3"/>
    <n v="1"/>
    <n v="2"/>
  </r>
  <r>
    <s v="No"/>
    <s v="Travel_Frequently"/>
    <x v="2"/>
    <s v="Current Employees"/>
    <x v="1"/>
    <x v="0"/>
    <x v="606"/>
    <x v="606"/>
    <x v="0"/>
    <x v="1"/>
    <x v="0"/>
    <s v="No"/>
    <s v="Y"/>
    <n v="3"/>
    <n v="-2"/>
    <n v="0"/>
    <x v="13"/>
    <x v="1"/>
    <m/>
    <n v="0"/>
    <n v="1"/>
    <n v="702"/>
    <n v="16"/>
    <x v="2"/>
    <x v="0"/>
    <n v="3"/>
    <n v="100"/>
    <n v="2"/>
    <n v="1"/>
    <x v="3"/>
    <n v="2553"/>
    <n v="8306"/>
    <n v="1"/>
    <n v="16"/>
    <n v="3"/>
    <n v="3"/>
    <n v="80"/>
    <n v="0"/>
    <n v="6"/>
    <n v="3"/>
    <n v="5"/>
    <n v="2"/>
    <n v="1"/>
    <n v="3"/>
  </r>
  <r>
    <s v="Yes"/>
    <s v="Travel_Rarely"/>
    <x v="1"/>
    <s v="Ex-Employees"/>
    <x v="0"/>
    <x v="3"/>
    <x v="607"/>
    <x v="607"/>
    <x v="0"/>
    <x v="0"/>
    <x v="1"/>
    <s v="No"/>
    <s v="Y"/>
    <n v="3"/>
    <n v="-2"/>
    <n v="0"/>
    <x v="1"/>
    <x v="0"/>
    <n v="1"/>
    <n v="1"/>
    <n v="0"/>
    <n v="1184"/>
    <n v="11"/>
    <x v="3"/>
    <x v="0"/>
    <n v="3"/>
    <n v="43"/>
    <n v="3"/>
    <n v="3"/>
    <x v="1"/>
    <n v="7654"/>
    <n v="5860"/>
    <n v="1"/>
    <n v="18"/>
    <n v="3"/>
    <n v="1"/>
    <n v="80"/>
    <n v="2"/>
    <n v="9"/>
    <n v="4"/>
    <n v="9"/>
    <n v="8"/>
    <n v="7"/>
    <n v="7"/>
  </r>
  <r>
    <s v="Yes"/>
    <s v="Travel_Rarely"/>
    <x v="3"/>
    <s v="Ex-Employees"/>
    <x v="0"/>
    <x v="2"/>
    <x v="608"/>
    <x v="608"/>
    <x v="1"/>
    <x v="0"/>
    <x v="0"/>
    <s v="No"/>
    <s v="Y"/>
    <n v="3"/>
    <n v="-2"/>
    <n v="0"/>
    <x v="27"/>
    <x v="0"/>
    <n v="1"/>
    <n v="1"/>
    <n v="0"/>
    <n v="436"/>
    <n v="2"/>
    <x v="1"/>
    <x v="0"/>
    <n v="3"/>
    <n v="37"/>
    <n v="3"/>
    <n v="2"/>
    <x v="0"/>
    <n v="5160"/>
    <n v="21519"/>
    <n v="4"/>
    <n v="16"/>
    <n v="3"/>
    <n v="3"/>
    <n v="80"/>
    <n v="0"/>
    <n v="12"/>
    <n v="2"/>
    <n v="9"/>
    <n v="7"/>
    <n v="7"/>
    <n v="3"/>
  </r>
  <r>
    <s v="No"/>
    <s v="Travel_Rarely"/>
    <x v="0"/>
    <s v="Current Employees"/>
    <x v="1"/>
    <x v="0"/>
    <x v="609"/>
    <x v="609"/>
    <x v="1"/>
    <x v="7"/>
    <x v="1"/>
    <s v="No"/>
    <s v="Y"/>
    <n v="3"/>
    <n v="-2"/>
    <n v="0"/>
    <x v="23"/>
    <x v="1"/>
    <m/>
    <n v="0"/>
    <n v="1"/>
    <n v="589"/>
    <n v="14"/>
    <x v="0"/>
    <x v="0"/>
    <n v="2"/>
    <n v="94"/>
    <n v="3"/>
    <n v="4"/>
    <x v="3"/>
    <n v="17159"/>
    <n v="5200"/>
    <n v="6"/>
    <n v="24"/>
    <n v="4"/>
    <n v="3"/>
    <n v="80"/>
    <n v="1"/>
    <n v="22"/>
    <n v="3"/>
    <n v="4"/>
    <n v="1"/>
    <n v="1"/>
    <n v="0"/>
  </r>
  <r>
    <s v="No"/>
    <s v="Travel_Rarely"/>
    <x v="2"/>
    <s v="Current Employees"/>
    <x v="1"/>
    <x v="4"/>
    <x v="610"/>
    <x v="610"/>
    <x v="1"/>
    <x v="7"/>
    <x v="2"/>
    <s v="Yes"/>
    <s v="Y"/>
    <n v="3"/>
    <n v="-2"/>
    <n v="0"/>
    <x v="4"/>
    <x v="1"/>
    <m/>
    <n v="0"/>
    <n v="1"/>
    <n v="269"/>
    <n v="5"/>
    <x v="1"/>
    <x v="0"/>
    <n v="4"/>
    <n v="42"/>
    <n v="2"/>
    <n v="3"/>
    <x v="0"/>
    <n v="12808"/>
    <n v="8842"/>
    <n v="1"/>
    <n v="16"/>
    <n v="3"/>
    <n v="2"/>
    <n v="80"/>
    <n v="1"/>
    <n v="9"/>
    <n v="3"/>
    <n v="9"/>
    <n v="8"/>
    <n v="0"/>
    <n v="8"/>
  </r>
  <r>
    <s v="No"/>
    <s v="Travel_Rarely"/>
    <x v="0"/>
    <s v="Current Employees"/>
    <x v="1"/>
    <x v="1"/>
    <x v="611"/>
    <x v="611"/>
    <x v="1"/>
    <x v="3"/>
    <x v="0"/>
    <s v="No"/>
    <s v="Y"/>
    <n v="3"/>
    <n v="-2"/>
    <n v="0"/>
    <x v="10"/>
    <x v="1"/>
    <m/>
    <n v="0"/>
    <n v="1"/>
    <n v="950"/>
    <n v="7"/>
    <x v="3"/>
    <x v="0"/>
    <n v="3"/>
    <n v="59"/>
    <n v="3"/>
    <n v="3"/>
    <x v="2"/>
    <n v="10221"/>
    <n v="18869"/>
    <n v="3"/>
    <n v="21"/>
    <n v="4"/>
    <n v="2"/>
    <n v="80"/>
    <n v="0"/>
    <n v="17"/>
    <n v="4"/>
    <n v="8"/>
    <n v="5"/>
    <n v="1"/>
    <n v="6"/>
  </r>
  <r>
    <s v="No"/>
    <s v="Travel_Rarely"/>
    <x v="2"/>
    <s v="Current Employees"/>
    <x v="0"/>
    <x v="3"/>
    <x v="612"/>
    <x v="612"/>
    <x v="0"/>
    <x v="0"/>
    <x v="1"/>
    <s v="Yes"/>
    <s v="Y"/>
    <n v="2"/>
    <n v="-2"/>
    <n v="0"/>
    <x v="14"/>
    <x v="1"/>
    <m/>
    <n v="0"/>
    <n v="1"/>
    <n v="760"/>
    <n v="2"/>
    <x v="2"/>
    <x v="0"/>
    <n v="2"/>
    <n v="81"/>
    <n v="3"/>
    <n v="2"/>
    <x v="1"/>
    <n v="4779"/>
    <n v="3698"/>
    <n v="1"/>
    <n v="20"/>
    <n v="4"/>
    <n v="1"/>
    <n v="80"/>
    <n v="0"/>
    <n v="8"/>
    <n v="3"/>
    <n v="8"/>
    <n v="7"/>
    <n v="7"/>
    <n v="5"/>
  </r>
  <r>
    <s v="No"/>
    <s v="Travel_Rarely"/>
    <x v="2"/>
    <s v="Current Employees"/>
    <x v="2"/>
    <x v="5"/>
    <x v="613"/>
    <x v="613"/>
    <x v="1"/>
    <x v="8"/>
    <x v="1"/>
    <s v="No"/>
    <s v="Y"/>
    <n v="1"/>
    <n v="-2"/>
    <n v="0"/>
    <x v="13"/>
    <x v="1"/>
    <m/>
    <n v="0"/>
    <n v="1"/>
    <n v="829"/>
    <n v="3"/>
    <x v="0"/>
    <x v="0"/>
    <n v="3"/>
    <n v="88"/>
    <n v="3"/>
    <n v="1"/>
    <x v="0"/>
    <n v="3737"/>
    <n v="2243"/>
    <n v="0"/>
    <n v="19"/>
    <n v="3"/>
    <n v="3"/>
    <n v="80"/>
    <n v="1"/>
    <n v="4"/>
    <n v="1"/>
    <n v="3"/>
    <n v="2"/>
    <n v="0"/>
    <n v="2"/>
  </r>
  <r>
    <s v="Yes"/>
    <s v="Travel_Frequently"/>
    <x v="2"/>
    <s v="Ex-Employees"/>
    <x v="1"/>
    <x v="2"/>
    <x v="614"/>
    <x v="614"/>
    <x v="0"/>
    <x v="1"/>
    <x v="1"/>
    <s v="Yes"/>
    <s v="Y"/>
    <n v="2"/>
    <n v="-2"/>
    <n v="0"/>
    <x v="25"/>
    <x v="0"/>
    <n v="1"/>
    <n v="1"/>
    <n v="0"/>
    <n v="887"/>
    <n v="5"/>
    <x v="0"/>
    <x v="0"/>
    <n v="3"/>
    <n v="88"/>
    <n v="2"/>
    <n v="1"/>
    <x v="2"/>
    <n v="2366"/>
    <n v="20898"/>
    <n v="1"/>
    <n v="14"/>
    <n v="3"/>
    <n v="1"/>
    <n v="80"/>
    <n v="1"/>
    <n v="8"/>
    <n v="3"/>
    <n v="8"/>
    <n v="7"/>
    <n v="1"/>
    <n v="7"/>
  </r>
  <r>
    <s v="No"/>
    <s v="Non-Travel"/>
    <x v="2"/>
    <s v="Current Employees"/>
    <x v="1"/>
    <x v="2"/>
    <x v="615"/>
    <x v="615"/>
    <x v="1"/>
    <x v="1"/>
    <x v="1"/>
    <s v="No"/>
    <s v="Y"/>
    <n v="6"/>
    <n v="-2"/>
    <n v="0"/>
    <x v="4"/>
    <x v="1"/>
    <m/>
    <n v="0"/>
    <n v="1"/>
    <n v="443"/>
    <n v="3"/>
    <x v="3"/>
    <x v="0"/>
    <n v="4"/>
    <n v="50"/>
    <n v="3"/>
    <n v="1"/>
    <x v="0"/>
    <n v="1706"/>
    <n v="16571"/>
    <n v="1"/>
    <n v="11"/>
    <n v="3"/>
    <n v="3"/>
    <n v="80"/>
    <n v="3"/>
    <n v="0"/>
    <n v="2"/>
    <n v="0"/>
    <n v="0"/>
    <n v="0"/>
    <n v="0"/>
  </r>
  <r>
    <s v="No"/>
    <s v="Travel_Rarely"/>
    <x v="1"/>
    <s v="Current Employees"/>
    <x v="0"/>
    <x v="3"/>
    <x v="616"/>
    <x v="616"/>
    <x v="0"/>
    <x v="5"/>
    <x v="1"/>
    <s v="No"/>
    <s v="Y"/>
    <n v="2"/>
    <n v="-2"/>
    <n v="0"/>
    <x v="31"/>
    <x v="1"/>
    <m/>
    <n v="0"/>
    <n v="1"/>
    <n v="1318"/>
    <n v="26"/>
    <x v="2"/>
    <x v="0"/>
    <n v="1"/>
    <n v="66"/>
    <n v="3"/>
    <n v="4"/>
    <x v="1"/>
    <n v="16307"/>
    <n v="5594"/>
    <n v="2"/>
    <n v="14"/>
    <n v="3"/>
    <n v="3"/>
    <n v="80"/>
    <n v="1"/>
    <n v="29"/>
    <n v="2"/>
    <n v="20"/>
    <n v="6"/>
    <n v="4"/>
    <n v="17"/>
  </r>
  <r>
    <s v="No"/>
    <s v="Travel_Rarely"/>
    <x v="0"/>
    <s v="Current Employees"/>
    <x v="1"/>
    <x v="2"/>
    <x v="617"/>
    <x v="617"/>
    <x v="1"/>
    <x v="4"/>
    <x v="0"/>
    <s v="No"/>
    <s v="Y"/>
    <n v="2"/>
    <n v="-2"/>
    <n v="0"/>
    <x v="20"/>
    <x v="1"/>
    <m/>
    <n v="0"/>
    <n v="1"/>
    <n v="625"/>
    <n v="4"/>
    <x v="3"/>
    <x v="0"/>
    <n v="4"/>
    <n v="50"/>
    <n v="3"/>
    <n v="2"/>
    <x v="2"/>
    <n v="5933"/>
    <n v="5197"/>
    <n v="9"/>
    <n v="12"/>
    <n v="3"/>
    <n v="4"/>
    <n v="80"/>
    <n v="0"/>
    <n v="10"/>
    <n v="2"/>
    <n v="5"/>
    <n v="2"/>
    <n v="2"/>
    <n v="3"/>
  </r>
  <r>
    <s v="No"/>
    <s v="Travel_Rarely"/>
    <x v="2"/>
    <s v="Current Employees"/>
    <x v="1"/>
    <x v="2"/>
    <x v="618"/>
    <x v="618"/>
    <x v="1"/>
    <x v="1"/>
    <x v="0"/>
    <s v="No"/>
    <s v="Y"/>
    <n v="3"/>
    <n v="-2"/>
    <n v="0"/>
    <x v="36"/>
    <x v="1"/>
    <m/>
    <n v="0"/>
    <n v="1"/>
    <n v="180"/>
    <n v="2"/>
    <x v="1"/>
    <x v="0"/>
    <n v="1"/>
    <n v="65"/>
    <n v="4"/>
    <n v="1"/>
    <x v="2"/>
    <n v="3424"/>
    <n v="21632"/>
    <n v="7"/>
    <n v="13"/>
    <n v="3"/>
    <n v="3"/>
    <n v="80"/>
    <n v="0"/>
    <n v="6"/>
    <n v="2"/>
    <n v="4"/>
    <n v="3"/>
    <n v="0"/>
    <n v="1"/>
  </r>
  <r>
    <s v="No"/>
    <s v="Travel_Rarely"/>
    <x v="2"/>
    <s v="Current Employees"/>
    <x v="0"/>
    <x v="2"/>
    <x v="619"/>
    <x v="619"/>
    <x v="1"/>
    <x v="0"/>
    <x v="2"/>
    <s v="No"/>
    <s v="Y"/>
    <n v="5"/>
    <n v="-2"/>
    <n v="0"/>
    <x v="3"/>
    <x v="1"/>
    <m/>
    <n v="0"/>
    <n v="1"/>
    <n v="586"/>
    <n v="1"/>
    <x v="3"/>
    <x v="0"/>
    <n v="1"/>
    <n v="48"/>
    <n v="4"/>
    <n v="2"/>
    <x v="2"/>
    <n v="4037"/>
    <n v="21816"/>
    <n v="1"/>
    <n v="22"/>
    <n v="4"/>
    <n v="1"/>
    <n v="80"/>
    <n v="1"/>
    <n v="9"/>
    <n v="3"/>
    <n v="9"/>
    <n v="8"/>
    <n v="0"/>
    <n v="8"/>
  </r>
  <r>
    <s v="No"/>
    <s v="Travel_Rarely"/>
    <x v="0"/>
    <s v="Current Employees"/>
    <x v="1"/>
    <x v="2"/>
    <x v="620"/>
    <x v="620"/>
    <x v="0"/>
    <x v="1"/>
    <x v="0"/>
    <s v="No"/>
    <s v="Y"/>
    <n v="3"/>
    <n v="-2"/>
    <n v="0"/>
    <x v="10"/>
    <x v="1"/>
    <m/>
    <n v="0"/>
    <n v="1"/>
    <n v="1343"/>
    <n v="27"/>
    <x v="1"/>
    <x v="0"/>
    <n v="3"/>
    <n v="53"/>
    <n v="2"/>
    <n v="1"/>
    <x v="2"/>
    <n v="2559"/>
    <n v="17852"/>
    <n v="1"/>
    <n v="11"/>
    <n v="3"/>
    <n v="4"/>
    <n v="80"/>
    <n v="0"/>
    <n v="6"/>
    <n v="2"/>
    <n v="6"/>
    <n v="5"/>
    <n v="1"/>
    <n v="1"/>
  </r>
  <r>
    <s v="No"/>
    <s v="Travel_Rarely"/>
    <x v="0"/>
    <s v="Current Employees"/>
    <x v="0"/>
    <x v="0"/>
    <x v="621"/>
    <x v="621"/>
    <x v="1"/>
    <x v="0"/>
    <x v="1"/>
    <s v="Yes"/>
    <s v="Y"/>
    <n v="1"/>
    <n v="-2"/>
    <n v="0"/>
    <x v="9"/>
    <x v="1"/>
    <m/>
    <n v="0"/>
    <n v="1"/>
    <n v="928"/>
    <n v="1"/>
    <x v="0"/>
    <x v="0"/>
    <n v="2"/>
    <n v="56"/>
    <n v="3"/>
    <n v="2"/>
    <x v="3"/>
    <n v="6201"/>
    <n v="2823"/>
    <n v="1"/>
    <n v="14"/>
    <n v="3"/>
    <n v="4"/>
    <n v="80"/>
    <n v="1"/>
    <n v="18"/>
    <n v="2"/>
    <n v="18"/>
    <n v="14"/>
    <n v="4"/>
    <n v="11"/>
  </r>
  <r>
    <s v="No"/>
    <s v="Travel_Rarely"/>
    <x v="2"/>
    <s v="Current Employees"/>
    <x v="0"/>
    <x v="0"/>
    <x v="622"/>
    <x v="622"/>
    <x v="1"/>
    <x v="0"/>
    <x v="2"/>
    <s v="No"/>
    <s v="Y"/>
    <n v="3"/>
    <n v="-2"/>
    <n v="0"/>
    <x v="5"/>
    <x v="1"/>
    <m/>
    <n v="0"/>
    <n v="1"/>
    <n v="117"/>
    <n v="13"/>
    <x v="2"/>
    <x v="0"/>
    <n v="2"/>
    <n v="73"/>
    <n v="3"/>
    <n v="2"/>
    <x v="3"/>
    <n v="4403"/>
    <n v="9250"/>
    <n v="2"/>
    <n v="11"/>
    <n v="3"/>
    <n v="3"/>
    <n v="80"/>
    <n v="1"/>
    <n v="8"/>
    <n v="2"/>
    <n v="5"/>
    <n v="2"/>
    <n v="0"/>
    <n v="3"/>
  </r>
  <r>
    <s v="No"/>
    <s v="Travel_Frequently"/>
    <x v="2"/>
    <s v="Current Employees"/>
    <x v="1"/>
    <x v="0"/>
    <x v="623"/>
    <x v="623"/>
    <x v="1"/>
    <x v="1"/>
    <x v="2"/>
    <s v="No"/>
    <s v="Y"/>
    <n v="3"/>
    <n v="-2"/>
    <n v="0"/>
    <x v="7"/>
    <x v="1"/>
    <m/>
    <n v="0"/>
    <n v="1"/>
    <n v="1012"/>
    <n v="5"/>
    <x v="2"/>
    <x v="0"/>
    <n v="2"/>
    <n v="75"/>
    <n v="2"/>
    <n v="1"/>
    <x v="3"/>
    <n v="3761"/>
    <n v="2373"/>
    <n v="9"/>
    <n v="12"/>
    <n v="3"/>
    <n v="2"/>
    <n v="80"/>
    <n v="1"/>
    <n v="10"/>
    <n v="2"/>
    <n v="5"/>
    <n v="4"/>
    <n v="0"/>
    <n v="3"/>
  </r>
  <r>
    <s v="No"/>
    <s v="Travel_Rarely"/>
    <x v="1"/>
    <s v="Current Employees"/>
    <x v="0"/>
    <x v="3"/>
    <x v="624"/>
    <x v="624"/>
    <x v="0"/>
    <x v="0"/>
    <x v="1"/>
    <s v="Yes"/>
    <s v="Y"/>
    <n v="3"/>
    <n v="-2"/>
    <n v="0"/>
    <x v="16"/>
    <x v="1"/>
    <m/>
    <n v="0"/>
    <n v="1"/>
    <n v="661"/>
    <n v="7"/>
    <x v="0"/>
    <x v="0"/>
    <n v="1"/>
    <n v="78"/>
    <n v="2"/>
    <n v="3"/>
    <x v="1"/>
    <n v="10934"/>
    <n v="20715"/>
    <n v="7"/>
    <n v="18"/>
    <n v="3"/>
    <n v="4"/>
    <n v="80"/>
    <n v="1"/>
    <n v="35"/>
    <n v="3"/>
    <n v="5"/>
    <n v="2"/>
    <n v="0"/>
    <n v="4"/>
  </r>
  <r>
    <s v="No"/>
    <s v="Travel_Rarely"/>
    <x v="1"/>
    <s v="Current Employees"/>
    <x v="0"/>
    <x v="3"/>
    <x v="625"/>
    <x v="625"/>
    <x v="1"/>
    <x v="0"/>
    <x v="2"/>
    <s v="Yes"/>
    <s v="Y"/>
    <n v="2"/>
    <n v="-2"/>
    <n v="0"/>
    <x v="28"/>
    <x v="1"/>
    <m/>
    <n v="0"/>
    <n v="1"/>
    <n v="930"/>
    <n v="9"/>
    <x v="3"/>
    <x v="0"/>
    <n v="4"/>
    <n v="74"/>
    <n v="3"/>
    <n v="3"/>
    <x v="1"/>
    <n v="10761"/>
    <n v="19239"/>
    <n v="4"/>
    <n v="12"/>
    <n v="3"/>
    <n v="3"/>
    <n v="80"/>
    <n v="1"/>
    <n v="18"/>
    <n v="3"/>
    <n v="5"/>
    <n v="4"/>
    <n v="0"/>
    <n v="2"/>
  </r>
  <r>
    <s v="No"/>
    <s v="Travel_Rarely"/>
    <x v="2"/>
    <s v="Current Employees"/>
    <x v="1"/>
    <x v="2"/>
    <x v="626"/>
    <x v="626"/>
    <x v="0"/>
    <x v="1"/>
    <x v="1"/>
    <s v="No"/>
    <s v="Y"/>
    <n v="3"/>
    <n v="-2"/>
    <n v="0"/>
    <x v="5"/>
    <x v="1"/>
    <m/>
    <n v="0"/>
    <n v="1"/>
    <n v="638"/>
    <n v="8"/>
    <x v="0"/>
    <x v="0"/>
    <n v="3"/>
    <n v="91"/>
    <n v="4"/>
    <n v="2"/>
    <x v="2"/>
    <n v="5175"/>
    <n v="22162"/>
    <n v="5"/>
    <n v="12"/>
    <n v="3"/>
    <n v="3"/>
    <n v="80"/>
    <n v="1"/>
    <n v="9"/>
    <n v="2"/>
    <n v="5"/>
    <n v="3"/>
    <n v="1"/>
    <n v="3"/>
  </r>
  <r>
    <s v="No"/>
    <s v="Travel_Frequently"/>
    <x v="1"/>
    <s v="Current Employees"/>
    <x v="1"/>
    <x v="2"/>
    <x v="627"/>
    <x v="627"/>
    <x v="0"/>
    <x v="3"/>
    <x v="1"/>
    <s v="No"/>
    <s v="Y"/>
    <n v="3"/>
    <n v="-2"/>
    <n v="0"/>
    <x v="39"/>
    <x v="1"/>
    <m/>
    <n v="0"/>
    <n v="1"/>
    <n v="890"/>
    <n v="25"/>
    <x v="2"/>
    <x v="0"/>
    <n v="3"/>
    <n v="81"/>
    <n v="2"/>
    <n v="4"/>
    <x v="0"/>
    <n v="13826"/>
    <n v="19028"/>
    <n v="3"/>
    <n v="22"/>
    <n v="4"/>
    <n v="3"/>
    <n v="80"/>
    <n v="0"/>
    <n v="31"/>
    <n v="3"/>
    <n v="9"/>
    <n v="8"/>
    <n v="0"/>
    <n v="0"/>
  </r>
  <r>
    <s v="No"/>
    <s v="Travel_Rarely"/>
    <x v="0"/>
    <s v="Current Employees"/>
    <x v="0"/>
    <x v="3"/>
    <x v="628"/>
    <x v="628"/>
    <x v="1"/>
    <x v="0"/>
    <x v="2"/>
    <s v="No"/>
    <s v="Y"/>
    <n v="2"/>
    <n v="-2"/>
    <n v="0"/>
    <x v="2"/>
    <x v="1"/>
    <m/>
    <n v="0"/>
    <n v="1"/>
    <n v="342"/>
    <n v="16"/>
    <x v="2"/>
    <x v="0"/>
    <n v="4"/>
    <n v="66"/>
    <n v="2"/>
    <n v="2"/>
    <x v="1"/>
    <n v="6334"/>
    <n v="24558"/>
    <n v="4"/>
    <n v="19"/>
    <n v="3"/>
    <n v="4"/>
    <n v="80"/>
    <n v="2"/>
    <n v="9"/>
    <n v="3"/>
    <n v="1"/>
    <n v="0"/>
    <n v="0"/>
    <n v="0"/>
  </r>
  <r>
    <s v="No"/>
    <s v="Travel_Rarely"/>
    <x v="2"/>
    <s v="Current Employees"/>
    <x v="2"/>
    <x v="2"/>
    <x v="629"/>
    <x v="629"/>
    <x v="1"/>
    <x v="8"/>
    <x v="2"/>
    <s v="No"/>
    <s v="Y"/>
    <n v="6"/>
    <n v="-2"/>
    <n v="0"/>
    <x v="14"/>
    <x v="1"/>
    <m/>
    <n v="0"/>
    <n v="1"/>
    <n v="1169"/>
    <n v="8"/>
    <x v="0"/>
    <x v="0"/>
    <n v="2"/>
    <n v="63"/>
    <n v="2"/>
    <n v="1"/>
    <x v="0"/>
    <n v="4936"/>
    <n v="23965"/>
    <n v="1"/>
    <n v="13"/>
    <n v="3"/>
    <n v="4"/>
    <n v="80"/>
    <n v="1"/>
    <n v="6"/>
    <n v="3"/>
    <n v="5"/>
    <n v="1"/>
    <n v="0"/>
    <n v="4"/>
  </r>
  <r>
    <s v="No"/>
    <s v="Travel_Rarely"/>
    <x v="4"/>
    <s v="Current Employees"/>
    <x v="1"/>
    <x v="0"/>
    <x v="630"/>
    <x v="630"/>
    <x v="1"/>
    <x v="3"/>
    <x v="1"/>
    <s v="No"/>
    <s v="Y"/>
    <n v="2"/>
    <n v="-2"/>
    <n v="0"/>
    <x v="15"/>
    <x v="1"/>
    <m/>
    <n v="0"/>
    <n v="1"/>
    <n v="1230"/>
    <n v="1"/>
    <x v="0"/>
    <x v="0"/>
    <n v="4"/>
    <n v="33"/>
    <n v="2"/>
    <n v="2"/>
    <x v="3"/>
    <n v="4775"/>
    <n v="19146"/>
    <n v="6"/>
    <n v="22"/>
    <n v="4"/>
    <n v="1"/>
    <n v="80"/>
    <n v="2"/>
    <n v="4"/>
    <n v="1"/>
    <n v="2"/>
    <n v="2"/>
    <n v="2"/>
    <n v="2"/>
  </r>
  <r>
    <s v="No"/>
    <s v="Travel_Rarely"/>
    <x v="0"/>
    <s v="Current Employees"/>
    <x v="1"/>
    <x v="0"/>
    <x v="631"/>
    <x v="631"/>
    <x v="1"/>
    <x v="2"/>
    <x v="1"/>
    <s v="Yes"/>
    <s v="Y"/>
    <n v="2"/>
    <n v="-2"/>
    <n v="0"/>
    <x v="20"/>
    <x v="1"/>
    <m/>
    <n v="0"/>
    <n v="1"/>
    <n v="986"/>
    <n v="8"/>
    <x v="2"/>
    <x v="0"/>
    <n v="1"/>
    <n v="62"/>
    <n v="4"/>
    <n v="1"/>
    <x v="3"/>
    <n v="2818"/>
    <n v="5044"/>
    <n v="2"/>
    <n v="24"/>
    <n v="4"/>
    <n v="3"/>
    <n v="80"/>
    <n v="1"/>
    <n v="10"/>
    <n v="2"/>
    <n v="3"/>
    <n v="2"/>
    <n v="0"/>
    <n v="2"/>
  </r>
  <r>
    <s v="No"/>
    <s v="Travel_Frequently"/>
    <x v="0"/>
    <s v="Current Employees"/>
    <x v="1"/>
    <x v="2"/>
    <x v="632"/>
    <x v="632"/>
    <x v="1"/>
    <x v="1"/>
    <x v="0"/>
    <s v="Yes"/>
    <s v="Y"/>
    <n v="2"/>
    <n v="-2"/>
    <n v="0"/>
    <x v="19"/>
    <x v="1"/>
    <m/>
    <n v="0"/>
    <n v="1"/>
    <n v="1271"/>
    <n v="2"/>
    <x v="1"/>
    <x v="0"/>
    <n v="2"/>
    <n v="35"/>
    <n v="3"/>
    <n v="1"/>
    <x v="0"/>
    <n v="2515"/>
    <n v="9068"/>
    <n v="5"/>
    <n v="14"/>
    <n v="3"/>
    <n v="4"/>
    <n v="80"/>
    <n v="0"/>
    <n v="8"/>
    <n v="3"/>
    <n v="2"/>
    <n v="1"/>
    <n v="2"/>
    <n v="2"/>
  </r>
  <r>
    <s v="No"/>
    <s v="Travel_Rarely"/>
    <x v="0"/>
    <s v="Current Employees"/>
    <x v="2"/>
    <x v="0"/>
    <x v="633"/>
    <x v="633"/>
    <x v="1"/>
    <x v="8"/>
    <x v="1"/>
    <s v="No"/>
    <s v="Y"/>
    <n v="3"/>
    <n v="-2"/>
    <n v="0"/>
    <x v="9"/>
    <x v="1"/>
    <m/>
    <n v="0"/>
    <n v="1"/>
    <n v="1278"/>
    <n v="8"/>
    <x v="3"/>
    <x v="0"/>
    <n v="1"/>
    <n v="77"/>
    <n v="2"/>
    <n v="1"/>
    <x v="3"/>
    <n v="2342"/>
    <n v="8635"/>
    <n v="0"/>
    <n v="21"/>
    <n v="4"/>
    <n v="3"/>
    <n v="80"/>
    <n v="0"/>
    <n v="6"/>
    <n v="3"/>
    <n v="5"/>
    <n v="4"/>
    <n v="0"/>
    <n v="3"/>
  </r>
  <r>
    <s v="No"/>
    <s v="Travel_Rarely"/>
    <x v="2"/>
    <s v="Current Employees"/>
    <x v="0"/>
    <x v="1"/>
    <x v="634"/>
    <x v="634"/>
    <x v="1"/>
    <x v="0"/>
    <x v="1"/>
    <s v="Yes"/>
    <s v="Y"/>
    <n v="3"/>
    <n v="-2"/>
    <n v="0"/>
    <x v="36"/>
    <x v="1"/>
    <m/>
    <n v="0"/>
    <n v="1"/>
    <n v="141"/>
    <n v="3"/>
    <x v="1"/>
    <x v="0"/>
    <n v="3"/>
    <n v="98"/>
    <n v="3"/>
    <n v="2"/>
    <x v="2"/>
    <n v="4194"/>
    <n v="14363"/>
    <n v="1"/>
    <n v="18"/>
    <n v="3"/>
    <n v="4"/>
    <n v="80"/>
    <n v="0"/>
    <n v="5"/>
    <n v="3"/>
    <n v="5"/>
    <n v="3"/>
    <n v="0"/>
    <n v="3"/>
  </r>
  <r>
    <s v="No"/>
    <s v="Travel_Rarely"/>
    <x v="0"/>
    <s v="Current Employees"/>
    <x v="1"/>
    <x v="0"/>
    <x v="635"/>
    <x v="635"/>
    <x v="0"/>
    <x v="3"/>
    <x v="1"/>
    <s v="Yes"/>
    <s v="Y"/>
    <n v="2"/>
    <n v="-2"/>
    <n v="0"/>
    <x v="10"/>
    <x v="1"/>
    <m/>
    <n v="0"/>
    <n v="1"/>
    <n v="607"/>
    <n v="9"/>
    <x v="3"/>
    <x v="0"/>
    <n v="4"/>
    <n v="66"/>
    <n v="2"/>
    <n v="3"/>
    <x v="3"/>
    <n v="10685"/>
    <n v="23457"/>
    <n v="1"/>
    <n v="20"/>
    <n v="4"/>
    <n v="2"/>
    <n v="80"/>
    <n v="1"/>
    <n v="17"/>
    <n v="3"/>
    <n v="17"/>
    <n v="14"/>
    <n v="5"/>
    <n v="15"/>
  </r>
  <r>
    <s v="Yes"/>
    <s v="Travel_Frequently"/>
    <x v="0"/>
    <s v="Ex-Employees"/>
    <x v="1"/>
    <x v="0"/>
    <x v="636"/>
    <x v="636"/>
    <x v="0"/>
    <x v="1"/>
    <x v="2"/>
    <s v="Yes"/>
    <s v="Y"/>
    <n v="3"/>
    <n v="-2"/>
    <n v="0"/>
    <x v="10"/>
    <x v="0"/>
    <n v="1"/>
    <n v="1"/>
    <n v="0"/>
    <n v="130"/>
    <n v="25"/>
    <x v="2"/>
    <x v="0"/>
    <n v="4"/>
    <n v="96"/>
    <n v="3"/>
    <n v="1"/>
    <x v="3"/>
    <n v="2022"/>
    <n v="16612"/>
    <n v="1"/>
    <n v="19"/>
    <n v="3"/>
    <n v="1"/>
    <n v="80"/>
    <n v="1"/>
    <n v="10"/>
    <n v="2"/>
    <n v="10"/>
    <n v="2"/>
    <n v="7"/>
    <n v="8"/>
  </r>
  <r>
    <s v="No"/>
    <s v="Non-Travel"/>
    <x v="2"/>
    <s v="Current Employees"/>
    <x v="1"/>
    <x v="0"/>
    <x v="637"/>
    <x v="637"/>
    <x v="1"/>
    <x v="2"/>
    <x v="2"/>
    <s v="No"/>
    <s v="Y"/>
    <n v="2"/>
    <n v="-2"/>
    <n v="0"/>
    <x v="5"/>
    <x v="1"/>
    <m/>
    <n v="0"/>
    <n v="1"/>
    <n v="300"/>
    <n v="1"/>
    <x v="3"/>
    <x v="0"/>
    <n v="4"/>
    <n v="61"/>
    <n v="3"/>
    <n v="1"/>
    <x v="3"/>
    <n v="2314"/>
    <n v="9148"/>
    <n v="0"/>
    <n v="12"/>
    <n v="3"/>
    <n v="2"/>
    <n v="80"/>
    <n v="1"/>
    <n v="4"/>
    <n v="3"/>
    <n v="3"/>
    <n v="0"/>
    <n v="0"/>
    <n v="2"/>
  </r>
  <r>
    <s v="No"/>
    <s v="Travel_Rarely"/>
    <x v="2"/>
    <s v="Current Employees"/>
    <x v="0"/>
    <x v="3"/>
    <x v="638"/>
    <x v="638"/>
    <x v="1"/>
    <x v="0"/>
    <x v="1"/>
    <s v="No"/>
    <s v="Y"/>
    <n v="1"/>
    <n v="-2"/>
    <n v="0"/>
    <x v="36"/>
    <x v="1"/>
    <m/>
    <n v="0"/>
    <n v="1"/>
    <n v="583"/>
    <n v="4"/>
    <x v="1"/>
    <x v="0"/>
    <n v="3"/>
    <n v="87"/>
    <n v="2"/>
    <n v="2"/>
    <x v="1"/>
    <n v="4256"/>
    <n v="18154"/>
    <n v="1"/>
    <n v="12"/>
    <n v="3"/>
    <n v="1"/>
    <n v="80"/>
    <n v="0"/>
    <n v="5"/>
    <n v="4"/>
    <n v="5"/>
    <n v="2"/>
    <n v="0"/>
    <n v="3"/>
  </r>
  <r>
    <s v="No"/>
    <s v="Travel_Rarely"/>
    <x v="1"/>
    <s v="Current Employees"/>
    <x v="1"/>
    <x v="4"/>
    <x v="639"/>
    <x v="639"/>
    <x v="0"/>
    <x v="1"/>
    <x v="1"/>
    <s v="No"/>
    <s v="Y"/>
    <n v="2"/>
    <n v="-2"/>
    <n v="0"/>
    <x v="1"/>
    <x v="1"/>
    <m/>
    <n v="0"/>
    <n v="1"/>
    <n v="1418"/>
    <n v="1"/>
    <x v="3"/>
    <x v="0"/>
    <n v="4"/>
    <n v="36"/>
    <n v="3"/>
    <n v="1"/>
    <x v="0"/>
    <n v="3580"/>
    <n v="10554"/>
    <n v="2"/>
    <n v="16"/>
    <n v="3"/>
    <n v="2"/>
    <n v="80"/>
    <n v="1"/>
    <n v="7"/>
    <n v="3"/>
    <n v="4"/>
    <n v="2"/>
    <n v="0"/>
    <n v="2"/>
  </r>
  <r>
    <s v="No"/>
    <s v="Non-Travel"/>
    <x v="4"/>
    <s v="Current Employees"/>
    <x v="1"/>
    <x v="0"/>
    <x v="640"/>
    <x v="640"/>
    <x v="1"/>
    <x v="2"/>
    <x v="1"/>
    <s v="No"/>
    <s v="Y"/>
    <n v="2"/>
    <n v="-2"/>
    <n v="0"/>
    <x v="17"/>
    <x v="1"/>
    <m/>
    <n v="0"/>
    <n v="1"/>
    <n v="1269"/>
    <n v="4"/>
    <x v="1"/>
    <x v="0"/>
    <n v="1"/>
    <n v="46"/>
    <n v="2"/>
    <n v="1"/>
    <x v="3"/>
    <n v="3162"/>
    <n v="10778"/>
    <n v="0"/>
    <n v="17"/>
    <n v="3"/>
    <n v="4"/>
    <n v="80"/>
    <n v="0"/>
    <n v="6"/>
    <n v="2"/>
    <n v="5"/>
    <n v="2"/>
    <n v="3"/>
    <n v="4"/>
  </r>
  <r>
    <s v="No"/>
    <s v="Travel_Frequently"/>
    <x v="2"/>
    <s v="Current Employees"/>
    <x v="0"/>
    <x v="0"/>
    <x v="641"/>
    <x v="641"/>
    <x v="1"/>
    <x v="0"/>
    <x v="1"/>
    <s v="No"/>
    <s v="Y"/>
    <n v="3"/>
    <n v="-2"/>
    <n v="0"/>
    <x v="5"/>
    <x v="1"/>
    <m/>
    <n v="0"/>
    <n v="1"/>
    <n v="379"/>
    <n v="5"/>
    <x v="0"/>
    <x v="0"/>
    <n v="2"/>
    <n v="48"/>
    <n v="3"/>
    <n v="2"/>
    <x v="3"/>
    <n v="6524"/>
    <n v="8891"/>
    <n v="1"/>
    <n v="14"/>
    <n v="3"/>
    <n v="4"/>
    <n v="80"/>
    <n v="1"/>
    <n v="10"/>
    <n v="3"/>
    <n v="10"/>
    <n v="8"/>
    <n v="5"/>
    <n v="3"/>
  </r>
  <r>
    <s v="No"/>
    <s v="Travel_Rarely"/>
    <x v="0"/>
    <s v="Current Employees"/>
    <x v="0"/>
    <x v="3"/>
    <x v="642"/>
    <x v="642"/>
    <x v="1"/>
    <x v="6"/>
    <x v="1"/>
    <s v="No"/>
    <s v="Y"/>
    <n v="3"/>
    <n v="-2"/>
    <n v="0"/>
    <x v="8"/>
    <x v="1"/>
    <m/>
    <n v="0"/>
    <n v="1"/>
    <n v="395"/>
    <n v="9"/>
    <x v="3"/>
    <x v="0"/>
    <n v="2"/>
    <n v="98"/>
    <n v="2"/>
    <n v="1"/>
    <x v="1"/>
    <n v="2899"/>
    <n v="12102"/>
    <n v="0"/>
    <n v="19"/>
    <n v="3"/>
    <n v="4"/>
    <n v="80"/>
    <n v="1"/>
    <n v="3"/>
    <n v="3"/>
    <n v="2"/>
    <n v="2"/>
    <n v="1"/>
    <n v="2"/>
  </r>
  <r>
    <s v="No"/>
    <s v="Travel_Rarely"/>
    <x v="0"/>
    <s v="Current Employees"/>
    <x v="1"/>
    <x v="0"/>
    <x v="643"/>
    <x v="643"/>
    <x v="0"/>
    <x v="2"/>
    <x v="1"/>
    <s v="Yes"/>
    <s v="Y"/>
    <n v="1"/>
    <n v="-2"/>
    <n v="0"/>
    <x v="19"/>
    <x v="1"/>
    <m/>
    <n v="0"/>
    <n v="1"/>
    <n v="1265"/>
    <n v="3"/>
    <x v="3"/>
    <x v="0"/>
    <n v="3"/>
    <n v="95"/>
    <n v="4"/>
    <n v="2"/>
    <x v="3"/>
    <n v="5231"/>
    <n v="23726"/>
    <n v="2"/>
    <n v="13"/>
    <n v="3"/>
    <n v="2"/>
    <n v="80"/>
    <n v="1"/>
    <n v="17"/>
    <n v="2"/>
    <n v="5"/>
    <n v="3"/>
    <n v="1"/>
    <n v="3"/>
  </r>
  <r>
    <s v="No"/>
    <s v="Travel_Rarely"/>
    <x v="2"/>
    <s v="Current Employees"/>
    <x v="1"/>
    <x v="0"/>
    <x v="644"/>
    <x v="644"/>
    <x v="1"/>
    <x v="1"/>
    <x v="1"/>
    <s v="Yes"/>
    <s v="Y"/>
    <n v="2"/>
    <n v="-2"/>
    <n v="0"/>
    <x v="12"/>
    <x v="1"/>
    <m/>
    <n v="0"/>
    <n v="1"/>
    <n v="1222"/>
    <n v="11"/>
    <x v="2"/>
    <x v="0"/>
    <n v="4"/>
    <n v="48"/>
    <n v="3"/>
    <n v="1"/>
    <x v="3"/>
    <n v="2356"/>
    <n v="14871"/>
    <n v="3"/>
    <n v="19"/>
    <n v="3"/>
    <n v="2"/>
    <n v="80"/>
    <n v="1"/>
    <n v="8"/>
    <n v="3"/>
    <n v="6"/>
    <n v="4"/>
    <n v="0"/>
    <n v="2"/>
  </r>
  <r>
    <s v="Yes"/>
    <s v="Travel_Rarely"/>
    <x v="2"/>
    <s v="Ex-Employees"/>
    <x v="0"/>
    <x v="2"/>
    <x v="645"/>
    <x v="645"/>
    <x v="0"/>
    <x v="6"/>
    <x v="2"/>
    <s v="Yes"/>
    <s v="Y"/>
    <n v="3"/>
    <n v="-2"/>
    <n v="0"/>
    <x v="11"/>
    <x v="0"/>
    <n v="1"/>
    <n v="1"/>
    <n v="0"/>
    <n v="341"/>
    <n v="1"/>
    <x v="3"/>
    <x v="0"/>
    <n v="2"/>
    <n v="48"/>
    <n v="2"/>
    <n v="1"/>
    <x v="2"/>
    <n v="2800"/>
    <n v="23522"/>
    <n v="6"/>
    <n v="19"/>
    <n v="3"/>
    <n v="3"/>
    <n v="80"/>
    <n v="3"/>
    <n v="5"/>
    <n v="3"/>
    <n v="3"/>
    <n v="2"/>
    <n v="0"/>
    <n v="2"/>
  </r>
  <r>
    <s v="No"/>
    <s v="Travel_Rarely"/>
    <x v="1"/>
    <s v="Current Employees"/>
    <x v="0"/>
    <x v="3"/>
    <x v="646"/>
    <x v="646"/>
    <x v="1"/>
    <x v="0"/>
    <x v="1"/>
    <s v="No"/>
    <s v="Y"/>
    <n v="3"/>
    <n v="-2"/>
    <n v="0"/>
    <x v="16"/>
    <x v="1"/>
    <m/>
    <n v="0"/>
    <n v="1"/>
    <n v="868"/>
    <n v="8"/>
    <x v="3"/>
    <x v="0"/>
    <n v="1"/>
    <n v="73"/>
    <n v="3"/>
    <n v="4"/>
    <x v="1"/>
    <n v="11836"/>
    <n v="22789"/>
    <n v="5"/>
    <n v="14"/>
    <n v="3"/>
    <n v="3"/>
    <n v="80"/>
    <n v="1"/>
    <n v="28"/>
    <n v="3"/>
    <n v="2"/>
    <n v="0"/>
    <n v="2"/>
    <n v="2"/>
  </r>
  <r>
    <s v="No"/>
    <s v="Travel_Rarely"/>
    <x v="0"/>
    <s v="Current Employees"/>
    <x v="1"/>
    <x v="4"/>
    <x v="647"/>
    <x v="647"/>
    <x v="1"/>
    <x v="3"/>
    <x v="1"/>
    <s v="No"/>
    <s v="Y"/>
    <n v="2"/>
    <n v="-2"/>
    <n v="0"/>
    <x v="10"/>
    <x v="1"/>
    <m/>
    <n v="0"/>
    <n v="1"/>
    <n v="672"/>
    <n v="25"/>
    <x v="3"/>
    <x v="0"/>
    <n v="4"/>
    <n v="78"/>
    <n v="2"/>
    <n v="3"/>
    <x v="0"/>
    <n v="10903"/>
    <n v="9129"/>
    <n v="3"/>
    <n v="16"/>
    <n v="3"/>
    <n v="1"/>
    <n v="80"/>
    <n v="0"/>
    <n v="16"/>
    <n v="3"/>
    <n v="13"/>
    <n v="10"/>
    <n v="4"/>
    <n v="8"/>
  </r>
  <r>
    <s v="No"/>
    <s v="Travel_Frequently"/>
    <x v="0"/>
    <s v="Current Employees"/>
    <x v="0"/>
    <x v="2"/>
    <x v="648"/>
    <x v="648"/>
    <x v="0"/>
    <x v="6"/>
    <x v="1"/>
    <s v="No"/>
    <s v="Y"/>
    <n v="3"/>
    <n v="-2"/>
    <n v="0"/>
    <x v="2"/>
    <x v="1"/>
    <m/>
    <n v="0"/>
    <n v="1"/>
    <n v="1231"/>
    <n v="21"/>
    <x v="0"/>
    <x v="0"/>
    <n v="3"/>
    <n v="54"/>
    <n v="3"/>
    <n v="1"/>
    <x v="0"/>
    <n v="2973"/>
    <n v="21222"/>
    <n v="5"/>
    <n v="15"/>
    <n v="3"/>
    <n v="2"/>
    <n v="80"/>
    <n v="1"/>
    <n v="10"/>
    <n v="3"/>
    <n v="5"/>
    <n v="4"/>
    <n v="0"/>
    <n v="0"/>
  </r>
  <r>
    <s v="No"/>
    <s v="Travel_Rarely"/>
    <x v="1"/>
    <s v="Current Employees"/>
    <x v="1"/>
    <x v="0"/>
    <x v="649"/>
    <x v="649"/>
    <x v="0"/>
    <x v="7"/>
    <x v="0"/>
    <s v="No"/>
    <s v="Y"/>
    <n v="0"/>
    <n v="-2"/>
    <n v="0"/>
    <x v="16"/>
    <x v="1"/>
    <m/>
    <n v="0"/>
    <n v="1"/>
    <n v="102"/>
    <n v="23"/>
    <x v="2"/>
    <x v="0"/>
    <n v="4"/>
    <n v="72"/>
    <n v="3"/>
    <n v="4"/>
    <x v="3"/>
    <n v="14275"/>
    <n v="20206"/>
    <n v="6"/>
    <n v="18"/>
    <n v="3"/>
    <n v="3"/>
    <n v="80"/>
    <n v="0"/>
    <n v="33"/>
    <n v="3"/>
    <n v="12"/>
    <n v="9"/>
    <n v="3"/>
    <n v="8"/>
  </r>
  <r>
    <s v="No"/>
    <s v="Travel_Frequently"/>
    <x v="0"/>
    <s v="Current Employees"/>
    <x v="1"/>
    <x v="0"/>
    <x v="650"/>
    <x v="650"/>
    <x v="0"/>
    <x v="4"/>
    <x v="1"/>
    <s v="No"/>
    <s v="Y"/>
    <n v="2"/>
    <n v="-2"/>
    <n v="0"/>
    <x v="23"/>
    <x v="1"/>
    <m/>
    <n v="0"/>
    <n v="1"/>
    <n v="422"/>
    <n v="1"/>
    <x v="3"/>
    <x v="0"/>
    <n v="4"/>
    <n v="33"/>
    <n v="3"/>
    <n v="2"/>
    <x v="3"/>
    <n v="5562"/>
    <n v="21782"/>
    <n v="4"/>
    <n v="13"/>
    <n v="3"/>
    <n v="2"/>
    <n v="80"/>
    <n v="1"/>
    <n v="12"/>
    <n v="2"/>
    <n v="5"/>
    <n v="2"/>
    <n v="2"/>
    <n v="2"/>
  </r>
  <r>
    <s v="No"/>
    <s v="Travel_Rarely"/>
    <x v="1"/>
    <s v="Current Employees"/>
    <x v="0"/>
    <x v="3"/>
    <x v="651"/>
    <x v="651"/>
    <x v="0"/>
    <x v="0"/>
    <x v="1"/>
    <s v="Yes"/>
    <s v="Y"/>
    <n v="2"/>
    <n v="-2"/>
    <n v="0"/>
    <x v="40"/>
    <x v="1"/>
    <m/>
    <n v="0"/>
    <n v="1"/>
    <n v="249"/>
    <n v="2"/>
    <x v="0"/>
    <x v="0"/>
    <n v="3"/>
    <n v="35"/>
    <n v="3"/>
    <n v="2"/>
    <x v="1"/>
    <n v="4537"/>
    <n v="17783"/>
    <n v="0"/>
    <n v="22"/>
    <n v="4"/>
    <n v="1"/>
    <n v="80"/>
    <n v="1"/>
    <n v="8"/>
    <n v="3"/>
    <n v="7"/>
    <n v="6"/>
    <n v="7"/>
    <n v="7"/>
  </r>
  <r>
    <s v="No"/>
    <s v="Non-Travel"/>
    <x v="0"/>
    <s v="Current Employees"/>
    <x v="0"/>
    <x v="2"/>
    <x v="652"/>
    <x v="652"/>
    <x v="1"/>
    <x v="0"/>
    <x v="0"/>
    <s v="Yes"/>
    <s v="Y"/>
    <n v="2"/>
    <n v="-2"/>
    <n v="0"/>
    <x v="2"/>
    <x v="1"/>
    <m/>
    <n v="0"/>
    <n v="1"/>
    <n v="1252"/>
    <n v="19"/>
    <x v="0"/>
    <x v="0"/>
    <n v="1"/>
    <n v="32"/>
    <n v="3"/>
    <n v="3"/>
    <x v="2"/>
    <n v="7642"/>
    <n v="4814"/>
    <n v="1"/>
    <n v="13"/>
    <n v="3"/>
    <n v="4"/>
    <n v="80"/>
    <n v="0"/>
    <n v="10"/>
    <n v="3"/>
    <n v="10"/>
    <n v="0"/>
    <n v="0"/>
    <n v="9"/>
  </r>
  <r>
    <s v="No"/>
    <s v="Non-Travel"/>
    <x v="1"/>
    <s v="Current Employees"/>
    <x v="1"/>
    <x v="0"/>
    <x v="653"/>
    <x v="653"/>
    <x v="1"/>
    <x v="5"/>
    <x v="2"/>
    <s v="No"/>
    <s v="Y"/>
    <n v="3"/>
    <n v="-2"/>
    <n v="0"/>
    <x v="24"/>
    <x v="1"/>
    <m/>
    <n v="0"/>
    <n v="1"/>
    <n v="881"/>
    <n v="2"/>
    <x v="2"/>
    <x v="0"/>
    <n v="1"/>
    <n v="98"/>
    <n v="3"/>
    <n v="4"/>
    <x v="3"/>
    <n v="17924"/>
    <n v="4544"/>
    <n v="1"/>
    <n v="11"/>
    <n v="3"/>
    <n v="4"/>
    <n v="80"/>
    <n v="1"/>
    <n v="31"/>
    <n v="3"/>
    <n v="31"/>
    <n v="6"/>
    <n v="14"/>
    <n v="7"/>
  </r>
  <r>
    <s v="No"/>
    <s v="Travel_Rarely"/>
    <x v="0"/>
    <s v="Current Employees"/>
    <x v="2"/>
    <x v="0"/>
    <x v="654"/>
    <x v="654"/>
    <x v="0"/>
    <x v="8"/>
    <x v="1"/>
    <s v="No"/>
    <s v="Y"/>
    <n v="2"/>
    <n v="-2"/>
    <n v="0"/>
    <x v="22"/>
    <x v="1"/>
    <m/>
    <n v="0"/>
    <n v="1"/>
    <n v="1383"/>
    <n v="2"/>
    <x v="3"/>
    <x v="0"/>
    <n v="4"/>
    <n v="42"/>
    <n v="2"/>
    <n v="2"/>
    <x v="3"/>
    <n v="5204"/>
    <n v="7790"/>
    <n v="8"/>
    <n v="11"/>
    <n v="3"/>
    <n v="3"/>
    <n v="80"/>
    <n v="2"/>
    <n v="13"/>
    <n v="3"/>
    <n v="5"/>
    <n v="4"/>
    <n v="0"/>
    <n v="4"/>
  </r>
  <r>
    <s v="No"/>
    <s v="Travel_Rarely"/>
    <x v="2"/>
    <s v="Current Employees"/>
    <x v="2"/>
    <x v="5"/>
    <x v="655"/>
    <x v="655"/>
    <x v="1"/>
    <x v="8"/>
    <x v="2"/>
    <s v="Yes"/>
    <s v="Y"/>
    <n v="4"/>
    <n v="-2"/>
    <n v="0"/>
    <x v="3"/>
    <x v="1"/>
    <m/>
    <n v="0"/>
    <n v="1"/>
    <n v="1075"/>
    <n v="3"/>
    <x v="0"/>
    <x v="0"/>
    <n v="4"/>
    <n v="57"/>
    <n v="3"/>
    <n v="1"/>
    <x v="2"/>
    <n v="2277"/>
    <n v="22650"/>
    <n v="3"/>
    <n v="11"/>
    <n v="3"/>
    <n v="3"/>
    <n v="80"/>
    <n v="1"/>
    <n v="7"/>
    <n v="4"/>
    <n v="4"/>
    <n v="3"/>
    <n v="0"/>
    <n v="3"/>
  </r>
  <r>
    <s v="Yes"/>
    <s v="Travel_Rarely"/>
    <x v="2"/>
    <s v="Ex-Employees"/>
    <x v="1"/>
    <x v="0"/>
    <x v="656"/>
    <x v="656"/>
    <x v="1"/>
    <x v="2"/>
    <x v="0"/>
    <s v="Yes"/>
    <s v="Y"/>
    <n v="2"/>
    <n v="-2"/>
    <n v="0"/>
    <x v="5"/>
    <x v="0"/>
    <n v="1"/>
    <n v="1"/>
    <n v="0"/>
    <n v="374"/>
    <n v="25"/>
    <x v="2"/>
    <x v="0"/>
    <n v="1"/>
    <n v="87"/>
    <n v="3"/>
    <n v="1"/>
    <x v="3"/>
    <n v="2795"/>
    <n v="18016"/>
    <n v="1"/>
    <n v="24"/>
    <n v="4"/>
    <n v="3"/>
    <n v="80"/>
    <n v="0"/>
    <n v="1"/>
    <n v="1"/>
    <n v="1"/>
    <n v="0"/>
    <n v="0"/>
    <n v="1"/>
  </r>
  <r>
    <s v="No"/>
    <s v="Travel_Rarely"/>
    <x v="2"/>
    <s v="Current Employees"/>
    <x v="1"/>
    <x v="2"/>
    <x v="657"/>
    <x v="657"/>
    <x v="0"/>
    <x v="2"/>
    <x v="2"/>
    <s v="No"/>
    <s v="Y"/>
    <n v="5"/>
    <n v="-2"/>
    <n v="0"/>
    <x v="11"/>
    <x v="1"/>
    <m/>
    <n v="0"/>
    <n v="1"/>
    <n v="1086"/>
    <n v="7"/>
    <x v="1"/>
    <x v="0"/>
    <n v="1"/>
    <n v="62"/>
    <n v="2"/>
    <n v="1"/>
    <x v="0"/>
    <n v="2532"/>
    <n v="6054"/>
    <n v="6"/>
    <n v="14"/>
    <n v="3"/>
    <n v="3"/>
    <n v="80"/>
    <n v="3"/>
    <n v="8"/>
    <n v="3"/>
    <n v="4"/>
    <n v="3"/>
    <n v="0"/>
    <n v="3"/>
  </r>
  <r>
    <s v="No"/>
    <s v="Travel_Rarely"/>
    <x v="0"/>
    <s v="Current Employees"/>
    <x v="1"/>
    <x v="0"/>
    <x v="658"/>
    <x v="658"/>
    <x v="1"/>
    <x v="1"/>
    <x v="1"/>
    <s v="Yes"/>
    <s v="Y"/>
    <n v="0"/>
    <n v="-2"/>
    <n v="0"/>
    <x v="20"/>
    <x v="1"/>
    <m/>
    <n v="0"/>
    <n v="1"/>
    <n v="661"/>
    <n v="9"/>
    <x v="0"/>
    <x v="0"/>
    <n v="2"/>
    <n v="61"/>
    <n v="3"/>
    <n v="1"/>
    <x v="3"/>
    <n v="2559"/>
    <n v="7508"/>
    <n v="1"/>
    <n v="13"/>
    <n v="3"/>
    <n v="4"/>
    <n v="80"/>
    <n v="0"/>
    <n v="8"/>
    <n v="3"/>
    <n v="8"/>
    <n v="7"/>
    <n v="7"/>
    <n v="1"/>
  </r>
  <r>
    <s v="No"/>
    <s v="Travel_Rarely"/>
    <x v="2"/>
    <s v="Current Employees"/>
    <x v="0"/>
    <x v="2"/>
    <x v="659"/>
    <x v="659"/>
    <x v="1"/>
    <x v="0"/>
    <x v="0"/>
    <s v="No"/>
    <s v="Y"/>
    <n v="3"/>
    <n v="-2"/>
    <n v="0"/>
    <x v="14"/>
    <x v="1"/>
    <m/>
    <n v="0"/>
    <n v="1"/>
    <n v="821"/>
    <n v="5"/>
    <x v="2"/>
    <x v="0"/>
    <n v="1"/>
    <n v="98"/>
    <n v="3"/>
    <n v="2"/>
    <x v="0"/>
    <n v="4908"/>
    <n v="24252"/>
    <n v="1"/>
    <n v="14"/>
    <n v="3"/>
    <n v="2"/>
    <n v="80"/>
    <n v="0"/>
    <n v="4"/>
    <n v="3"/>
    <n v="4"/>
    <n v="2"/>
    <n v="0"/>
    <n v="2"/>
  </r>
  <r>
    <s v="Yes"/>
    <s v="Travel_Frequently"/>
    <x v="3"/>
    <s v="Ex-Employees"/>
    <x v="1"/>
    <x v="0"/>
    <x v="660"/>
    <x v="660"/>
    <x v="1"/>
    <x v="2"/>
    <x v="2"/>
    <s v="Yes"/>
    <s v="Y"/>
    <n v="3"/>
    <n v="-2"/>
    <n v="0"/>
    <x v="34"/>
    <x v="0"/>
    <n v="1"/>
    <n v="1"/>
    <n v="0"/>
    <n v="781"/>
    <n v="2"/>
    <x v="1"/>
    <x v="0"/>
    <n v="4"/>
    <n v="57"/>
    <n v="2"/>
    <n v="1"/>
    <x v="3"/>
    <n v="2380"/>
    <n v="13384"/>
    <n v="9"/>
    <n v="14"/>
    <n v="3"/>
    <n v="4"/>
    <n v="80"/>
    <n v="1"/>
    <n v="3"/>
    <n v="2"/>
    <n v="1"/>
    <n v="0"/>
    <n v="0"/>
    <n v="0"/>
  </r>
  <r>
    <s v="No"/>
    <s v="Travel_Rarely"/>
    <x v="0"/>
    <s v="Current Employees"/>
    <x v="1"/>
    <x v="0"/>
    <x v="661"/>
    <x v="661"/>
    <x v="0"/>
    <x v="3"/>
    <x v="2"/>
    <s v="No"/>
    <s v="Y"/>
    <n v="2"/>
    <n v="-2"/>
    <n v="0"/>
    <x v="23"/>
    <x v="1"/>
    <m/>
    <n v="0"/>
    <n v="1"/>
    <n v="177"/>
    <n v="8"/>
    <x v="3"/>
    <x v="0"/>
    <n v="1"/>
    <n v="55"/>
    <n v="3"/>
    <n v="2"/>
    <x v="3"/>
    <n v="4765"/>
    <n v="23814"/>
    <n v="4"/>
    <n v="21"/>
    <n v="4"/>
    <n v="3"/>
    <n v="80"/>
    <n v="1"/>
    <n v="4"/>
    <n v="4"/>
    <n v="1"/>
    <n v="0"/>
    <n v="0"/>
    <n v="0"/>
  </r>
  <r>
    <s v="Yes"/>
    <s v="Travel_Rarely"/>
    <x v="4"/>
    <s v="Ex-Employees"/>
    <x v="0"/>
    <x v="2"/>
    <x v="662"/>
    <x v="662"/>
    <x v="0"/>
    <x v="6"/>
    <x v="0"/>
    <s v="No"/>
    <s v="Y"/>
    <n v="3"/>
    <n v="-2"/>
    <n v="0"/>
    <x v="35"/>
    <x v="0"/>
    <n v="1"/>
    <n v="1"/>
    <n v="0"/>
    <n v="500"/>
    <n v="2"/>
    <x v="3"/>
    <x v="0"/>
    <n v="3"/>
    <n v="49"/>
    <n v="2"/>
    <n v="1"/>
    <x v="2"/>
    <n v="2044"/>
    <n v="22052"/>
    <n v="1"/>
    <n v="13"/>
    <n v="3"/>
    <n v="4"/>
    <n v="80"/>
    <n v="0"/>
    <n v="2"/>
    <n v="2"/>
    <n v="2"/>
    <n v="2"/>
    <n v="0"/>
    <n v="2"/>
  </r>
  <r>
    <s v="Yes"/>
    <s v="Travel_Rarely"/>
    <x v="4"/>
    <s v="Ex-Employees"/>
    <x v="1"/>
    <x v="1"/>
    <x v="663"/>
    <x v="663"/>
    <x v="0"/>
    <x v="1"/>
    <x v="0"/>
    <s v="No"/>
    <s v="Y"/>
    <n v="3"/>
    <n v="-2"/>
    <n v="0"/>
    <x v="18"/>
    <x v="0"/>
    <n v="1"/>
    <n v="1"/>
    <n v="0"/>
    <n v="1427"/>
    <n v="18"/>
    <x v="1"/>
    <x v="0"/>
    <n v="4"/>
    <n v="65"/>
    <n v="3"/>
    <n v="1"/>
    <x v="0"/>
    <n v="2693"/>
    <n v="8870"/>
    <n v="1"/>
    <n v="19"/>
    <n v="3"/>
    <n v="1"/>
    <n v="80"/>
    <n v="0"/>
    <n v="1"/>
    <n v="2"/>
    <n v="1"/>
    <n v="0"/>
    <n v="0"/>
    <n v="0"/>
  </r>
  <r>
    <s v="No"/>
    <s v="Travel_Rarely"/>
    <x v="0"/>
    <s v="Current Employees"/>
    <x v="1"/>
    <x v="0"/>
    <x v="664"/>
    <x v="664"/>
    <x v="1"/>
    <x v="4"/>
    <x v="1"/>
    <s v="Yes"/>
    <s v="Y"/>
    <n v="2"/>
    <n v="-2"/>
    <n v="0"/>
    <x v="9"/>
    <x v="1"/>
    <m/>
    <n v="0"/>
    <n v="1"/>
    <n v="1425"/>
    <n v="14"/>
    <x v="1"/>
    <x v="0"/>
    <n v="3"/>
    <n v="68"/>
    <n v="3"/>
    <n v="2"/>
    <x v="3"/>
    <n v="6586"/>
    <n v="4821"/>
    <n v="0"/>
    <n v="17"/>
    <n v="3"/>
    <n v="1"/>
    <n v="80"/>
    <n v="1"/>
    <n v="17"/>
    <n v="2"/>
    <n v="16"/>
    <n v="8"/>
    <n v="4"/>
    <n v="11"/>
  </r>
  <r>
    <s v="No"/>
    <s v="Travel_Rarely"/>
    <x v="1"/>
    <s v="Current Employees"/>
    <x v="0"/>
    <x v="0"/>
    <x v="665"/>
    <x v="665"/>
    <x v="0"/>
    <x v="6"/>
    <x v="0"/>
    <s v="Yes"/>
    <s v="Y"/>
    <n v="3"/>
    <n v="-2"/>
    <n v="0"/>
    <x v="40"/>
    <x v="1"/>
    <m/>
    <n v="0"/>
    <n v="1"/>
    <n v="1454"/>
    <n v="2"/>
    <x v="2"/>
    <x v="0"/>
    <n v="4"/>
    <n v="65"/>
    <n v="2"/>
    <n v="1"/>
    <x v="3"/>
    <n v="3294"/>
    <n v="13137"/>
    <n v="1"/>
    <n v="18"/>
    <n v="3"/>
    <n v="1"/>
    <n v="80"/>
    <n v="0"/>
    <n v="3"/>
    <n v="2"/>
    <n v="3"/>
    <n v="2"/>
    <n v="1"/>
    <n v="2"/>
  </r>
  <r>
    <s v="Yes"/>
    <s v="Travel_Rarely"/>
    <x v="4"/>
    <s v="Ex-Employees"/>
    <x v="1"/>
    <x v="0"/>
    <x v="666"/>
    <x v="666"/>
    <x v="0"/>
    <x v="3"/>
    <x v="1"/>
    <s v="Yes"/>
    <s v="Y"/>
    <n v="3"/>
    <n v="-2"/>
    <n v="0"/>
    <x v="15"/>
    <x v="0"/>
    <n v="1"/>
    <n v="1"/>
    <n v="0"/>
    <n v="617"/>
    <n v="3"/>
    <x v="1"/>
    <x v="0"/>
    <n v="2"/>
    <n v="34"/>
    <n v="3"/>
    <n v="2"/>
    <x v="3"/>
    <n v="4171"/>
    <n v="10022"/>
    <n v="0"/>
    <n v="19"/>
    <n v="3"/>
    <n v="1"/>
    <n v="80"/>
    <n v="1"/>
    <n v="4"/>
    <n v="4"/>
    <n v="3"/>
    <n v="2"/>
    <n v="0"/>
    <n v="2"/>
  </r>
  <r>
    <s v="Yes"/>
    <s v="Travel_Rarely"/>
    <x v="0"/>
    <s v="Ex-Employees"/>
    <x v="1"/>
    <x v="0"/>
    <x v="667"/>
    <x v="667"/>
    <x v="0"/>
    <x v="2"/>
    <x v="2"/>
    <s v="Yes"/>
    <s v="Y"/>
    <n v="1"/>
    <n v="-2"/>
    <n v="0"/>
    <x v="0"/>
    <x v="0"/>
    <n v="1"/>
    <n v="1"/>
    <n v="0"/>
    <n v="1085"/>
    <n v="2"/>
    <x v="2"/>
    <x v="0"/>
    <n v="2"/>
    <n v="57"/>
    <n v="1"/>
    <n v="1"/>
    <x v="3"/>
    <n v="2778"/>
    <n v="17725"/>
    <n v="4"/>
    <n v="13"/>
    <n v="3"/>
    <n v="3"/>
    <n v="80"/>
    <n v="1"/>
    <n v="10"/>
    <n v="2"/>
    <n v="7"/>
    <n v="7"/>
    <n v="1"/>
    <n v="0"/>
  </r>
  <r>
    <s v="No"/>
    <s v="Travel_Rarely"/>
    <x v="2"/>
    <s v="Current Employees"/>
    <x v="1"/>
    <x v="2"/>
    <x v="668"/>
    <x v="668"/>
    <x v="0"/>
    <x v="1"/>
    <x v="2"/>
    <s v="No"/>
    <s v="Y"/>
    <n v="2"/>
    <n v="-2"/>
    <n v="0"/>
    <x v="14"/>
    <x v="1"/>
    <m/>
    <n v="0"/>
    <n v="1"/>
    <n v="995"/>
    <n v="9"/>
    <x v="3"/>
    <x v="0"/>
    <n v="3"/>
    <n v="77"/>
    <n v="3"/>
    <n v="1"/>
    <x v="2"/>
    <n v="2377"/>
    <n v="9834"/>
    <n v="5"/>
    <n v="18"/>
    <n v="3"/>
    <n v="2"/>
    <n v="80"/>
    <n v="1"/>
    <n v="6"/>
    <n v="3"/>
    <n v="2"/>
    <n v="2"/>
    <n v="2"/>
    <n v="2"/>
  </r>
  <r>
    <s v="Yes"/>
    <s v="Travel_Rarely"/>
    <x v="0"/>
    <s v="Ex-Employees"/>
    <x v="1"/>
    <x v="2"/>
    <x v="669"/>
    <x v="669"/>
    <x v="1"/>
    <x v="2"/>
    <x v="1"/>
    <s v="Yes"/>
    <s v="Y"/>
    <n v="2"/>
    <n v="-2"/>
    <n v="0"/>
    <x v="22"/>
    <x v="0"/>
    <n v="1"/>
    <n v="1"/>
    <n v="0"/>
    <n v="1122"/>
    <n v="6"/>
    <x v="3"/>
    <x v="0"/>
    <n v="4"/>
    <n v="70"/>
    <n v="3"/>
    <n v="1"/>
    <x v="2"/>
    <n v="2404"/>
    <n v="4303"/>
    <n v="7"/>
    <n v="21"/>
    <n v="4"/>
    <n v="4"/>
    <n v="80"/>
    <n v="0"/>
    <n v="8"/>
    <n v="1"/>
    <n v="2"/>
    <n v="2"/>
    <n v="2"/>
    <n v="2"/>
  </r>
  <r>
    <s v="No"/>
    <s v="Travel_Rarely"/>
    <x v="2"/>
    <s v="Current Employees"/>
    <x v="1"/>
    <x v="0"/>
    <x v="670"/>
    <x v="670"/>
    <x v="0"/>
    <x v="1"/>
    <x v="0"/>
    <s v="No"/>
    <s v="Y"/>
    <n v="2"/>
    <n v="-2"/>
    <n v="0"/>
    <x v="4"/>
    <x v="1"/>
    <m/>
    <n v="0"/>
    <n v="1"/>
    <n v="618"/>
    <n v="4"/>
    <x v="3"/>
    <x v="0"/>
    <n v="2"/>
    <n v="76"/>
    <n v="3"/>
    <n v="1"/>
    <x v="3"/>
    <n v="2318"/>
    <n v="17808"/>
    <n v="1"/>
    <n v="19"/>
    <n v="3"/>
    <n v="3"/>
    <n v="80"/>
    <n v="0"/>
    <n v="1"/>
    <n v="3"/>
    <n v="1"/>
    <n v="1"/>
    <n v="0"/>
    <n v="0"/>
  </r>
  <r>
    <s v="No"/>
    <s v="Travel_Rarely"/>
    <x v="2"/>
    <s v="Current Employees"/>
    <x v="1"/>
    <x v="0"/>
    <x v="671"/>
    <x v="671"/>
    <x v="1"/>
    <x v="2"/>
    <x v="2"/>
    <s v="No"/>
    <s v="Y"/>
    <n v="3"/>
    <n v="-2"/>
    <n v="0"/>
    <x v="13"/>
    <x v="1"/>
    <m/>
    <n v="0"/>
    <n v="1"/>
    <n v="546"/>
    <n v="10"/>
    <x v="3"/>
    <x v="0"/>
    <n v="2"/>
    <n v="83"/>
    <n v="3"/>
    <n v="1"/>
    <x v="3"/>
    <n v="2008"/>
    <n v="6896"/>
    <n v="1"/>
    <n v="14"/>
    <n v="3"/>
    <n v="2"/>
    <n v="80"/>
    <n v="2"/>
    <n v="1"/>
    <n v="3"/>
    <n v="1"/>
    <n v="0"/>
    <n v="1"/>
    <n v="0"/>
  </r>
  <r>
    <s v="No"/>
    <s v="Travel_Rarely"/>
    <x v="0"/>
    <s v="Current Employees"/>
    <x v="0"/>
    <x v="2"/>
    <x v="672"/>
    <x v="672"/>
    <x v="0"/>
    <x v="0"/>
    <x v="0"/>
    <s v="No"/>
    <s v="Y"/>
    <n v="6"/>
    <n v="-2"/>
    <n v="0"/>
    <x v="19"/>
    <x v="1"/>
    <m/>
    <n v="0"/>
    <n v="1"/>
    <n v="462"/>
    <n v="14"/>
    <x v="0"/>
    <x v="0"/>
    <n v="3"/>
    <n v="68"/>
    <n v="2"/>
    <n v="2"/>
    <x v="2"/>
    <n v="6244"/>
    <n v="7824"/>
    <n v="7"/>
    <n v="17"/>
    <n v="3"/>
    <n v="1"/>
    <n v="80"/>
    <n v="0"/>
    <n v="10"/>
    <n v="3"/>
    <n v="5"/>
    <n v="4"/>
    <n v="0"/>
    <n v="3"/>
  </r>
  <r>
    <s v="No"/>
    <s v="Travel_Rarely"/>
    <x v="2"/>
    <s v="Current Employees"/>
    <x v="1"/>
    <x v="1"/>
    <x v="673"/>
    <x v="673"/>
    <x v="1"/>
    <x v="1"/>
    <x v="0"/>
    <s v="Yes"/>
    <s v="Y"/>
    <n v="1"/>
    <n v="-2"/>
    <n v="0"/>
    <x v="3"/>
    <x v="1"/>
    <m/>
    <n v="0"/>
    <n v="1"/>
    <n v="1198"/>
    <n v="1"/>
    <x v="2"/>
    <x v="0"/>
    <n v="3"/>
    <n v="100"/>
    <n v="2"/>
    <n v="1"/>
    <x v="2"/>
    <n v="2799"/>
    <n v="3339"/>
    <n v="3"/>
    <n v="11"/>
    <n v="3"/>
    <n v="2"/>
    <n v="80"/>
    <n v="0"/>
    <n v="6"/>
    <n v="3"/>
    <n v="3"/>
    <n v="2"/>
    <n v="0"/>
    <n v="2"/>
  </r>
  <r>
    <s v="No"/>
    <s v="Travel_Rarely"/>
    <x v="3"/>
    <s v="Current Employees"/>
    <x v="1"/>
    <x v="4"/>
    <x v="674"/>
    <x v="674"/>
    <x v="0"/>
    <x v="4"/>
    <x v="2"/>
    <s v="Yes"/>
    <s v="Y"/>
    <n v="3"/>
    <n v="-2"/>
    <n v="0"/>
    <x v="34"/>
    <x v="1"/>
    <m/>
    <n v="0"/>
    <n v="1"/>
    <n v="1272"/>
    <n v="5"/>
    <x v="3"/>
    <x v="0"/>
    <n v="4"/>
    <n v="37"/>
    <n v="2"/>
    <n v="3"/>
    <x v="0"/>
    <n v="10552"/>
    <n v="9255"/>
    <n v="2"/>
    <n v="13"/>
    <n v="3"/>
    <n v="4"/>
    <n v="80"/>
    <n v="1"/>
    <n v="24"/>
    <n v="3"/>
    <n v="6"/>
    <n v="0"/>
    <n v="0"/>
    <n v="4"/>
  </r>
  <r>
    <s v="No"/>
    <s v="Travel_Rarely"/>
    <x v="2"/>
    <s v="Current Employees"/>
    <x v="0"/>
    <x v="0"/>
    <x v="675"/>
    <x v="675"/>
    <x v="1"/>
    <x v="6"/>
    <x v="1"/>
    <s v="No"/>
    <s v="Y"/>
    <n v="2"/>
    <n v="-2"/>
    <n v="0"/>
    <x v="12"/>
    <x v="1"/>
    <m/>
    <n v="0"/>
    <n v="1"/>
    <n v="154"/>
    <n v="7"/>
    <x v="2"/>
    <x v="0"/>
    <n v="2"/>
    <n v="41"/>
    <n v="2"/>
    <n v="1"/>
    <x v="3"/>
    <n v="2329"/>
    <n v="11737"/>
    <n v="3"/>
    <n v="15"/>
    <n v="3"/>
    <n v="2"/>
    <n v="80"/>
    <n v="0"/>
    <n v="13"/>
    <n v="4"/>
    <n v="7"/>
    <n v="7"/>
    <n v="5"/>
    <n v="2"/>
  </r>
  <r>
    <s v="No"/>
    <s v="Travel_Rarely"/>
    <x v="0"/>
    <s v="Current Employees"/>
    <x v="1"/>
    <x v="0"/>
    <x v="676"/>
    <x v="676"/>
    <x v="0"/>
    <x v="4"/>
    <x v="1"/>
    <s v="Yes"/>
    <s v="Y"/>
    <n v="2"/>
    <n v="-2"/>
    <n v="0"/>
    <x v="10"/>
    <x v="1"/>
    <m/>
    <n v="0"/>
    <n v="1"/>
    <n v="1137"/>
    <n v="21"/>
    <x v="1"/>
    <x v="0"/>
    <n v="4"/>
    <n v="51"/>
    <n v="3"/>
    <n v="2"/>
    <x v="3"/>
    <n v="4014"/>
    <n v="19170"/>
    <n v="1"/>
    <n v="25"/>
    <n v="4"/>
    <n v="4"/>
    <n v="80"/>
    <n v="1"/>
    <n v="10"/>
    <n v="1"/>
    <n v="10"/>
    <n v="6"/>
    <n v="0"/>
    <n v="7"/>
  </r>
  <r>
    <s v="No"/>
    <s v="Travel_Rarely"/>
    <x v="1"/>
    <s v="Current Employees"/>
    <x v="1"/>
    <x v="1"/>
    <x v="677"/>
    <x v="677"/>
    <x v="0"/>
    <x v="2"/>
    <x v="1"/>
    <s v="No"/>
    <s v="Y"/>
    <n v="3"/>
    <n v="-2"/>
    <n v="0"/>
    <x v="1"/>
    <x v="1"/>
    <m/>
    <n v="0"/>
    <n v="1"/>
    <n v="527"/>
    <n v="8"/>
    <x v="0"/>
    <x v="0"/>
    <n v="1"/>
    <n v="51"/>
    <n v="3"/>
    <n v="3"/>
    <x v="2"/>
    <n v="7403"/>
    <n v="22477"/>
    <n v="4"/>
    <n v="11"/>
    <n v="3"/>
    <n v="3"/>
    <n v="80"/>
    <n v="1"/>
    <n v="29"/>
    <n v="2"/>
    <n v="26"/>
    <n v="9"/>
    <n v="1"/>
    <n v="7"/>
  </r>
  <r>
    <s v="No"/>
    <s v="Travel_Rarely"/>
    <x v="1"/>
    <s v="Current Employees"/>
    <x v="1"/>
    <x v="2"/>
    <x v="678"/>
    <x v="678"/>
    <x v="1"/>
    <x v="1"/>
    <x v="1"/>
    <s v="No"/>
    <s v="Y"/>
    <n v="2"/>
    <n v="-2"/>
    <n v="0"/>
    <x v="26"/>
    <x v="1"/>
    <m/>
    <n v="0"/>
    <n v="1"/>
    <n v="1469"/>
    <n v="20"/>
    <x v="2"/>
    <x v="0"/>
    <n v="4"/>
    <n v="51"/>
    <n v="3"/>
    <n v="1"/>
    <x v="2"/>
    <n v="2259"/>
    <n v="5543"/>
    <n v="4"/>
    <n v="17"/>
    <n v="3"/>
    <n v="1"/>
    <n v="80"/>
    <n v="2"/>
    <n v="13"/>
    <n v="2"/>
    <n v="0"/>
    <n v="0"/>
    <n v="0"/>
    <n v="0"/>
  </r>
  <r>
    <s v="No"/>
    <s v="Non-Travel"/>
    <x v="2"/>
    <s v="Current Employees"/>
    <x v="0"/>
    <x v="3"/>
    <x v="679"/>
    <x v="679"/>
    <x v="0"/>
    <x v="0"/>
    <x v="1"/>
    <s v="No"/>
    <s v="Y"/>
    <n v="2"/>
    <n v="-2"/>
    <n v="0"/>
    <x v="12"/>
    <x v="1"/>
    <m/>
    <n v="0"/>
    <n v="1"/>
    <n v="1188"/>
    <n v="20"/>
    <x v="0"/>
    <x v="0"/>
    <n v="4"/>
    <n v="45"/>
    <n v="3"/>
    <n v="2"/>
    <x v="1"/>
    <n v="6932"/>
    <n v="24406"/>
    <n v="1"/>
    <n v="13"/>
    <n v="3"/>
    <n v="4"/>
    <n v="80"/>
    <n v="1"/>
    <n v="9"/>
    <n v="2"/>
    <n v="9"/>
    <n v="8"/>
    <n v="0"/>
    <n v="0"/>
  </r>
  <r>
    <s v="No"/>
    <s v="Travel_Rarely"/>
    <x v="0"/>
    <s v="Current Employees"/>
    <x v="1"/>
    <x v="1"/>
    <x v="680"/>
    <x v="680"/>
    <x v="1"/>
    <x v="1"/>
    <x v="0"/>
    <s v="No"/>
    <s v="Y"/>
    <n v="6"/>
    <n v="-2"/>
    <n v="0"/>
    <x v="9"/>
    <x v="1"/>
    <m/>
    <n v="0"/>
    <n v="1"/>
    <n v="188"/>
    <n v="7"/>
    <x v="2"/>
    <x v="0"/>
    <n v="2"/>
    <n v="65"/>
    <n v="3"/>
    <n v="1"/>
    <x v="0"/>
    <n v="4678"/>
    <n v="23293"/>
    <n v="2"/>
    <n v="18"/>
    <n v="3"/>
    <n v="3"/>
    <n v="80"/>
    <n v="0"/>
    <n v="8"/>
    <n v="3"/>
    <n v="6"/>
    <n v="2"/>
    <n v="0"/>
    <n v="1"/>
  </r>
  <r>
    <s v="No"/>
    <s v="Travel_Rarely"/>
    <x v="0"/>
    <s v="Current Employees"/>
    <x v="1"/>
    <x v="4"/>
    <x v="681"/>
    <x v="681"/>
    <x v="0"/>
    <x v="7"/>
    <x v="1"/>
    <s v="No"/>
    <s v="Y"/>
    <n v="3"/>
    <n v="-2"/>
    <n v="0"/>
    <x v="8"/>
    <x v="1"/>
    <m/>
    <n v="0"/>
    <n v="1"/>
    <n v="1333"/>
    <n v="1"/>
    <x v="3"/>
    <x v="0"/>
    <n v="4"/>
    <n v="80"/>
    <n v="3"/>
    <n v="3"/>
    <x v="0"/>
    <n v="13582"/>
    <n v="16292"/>
    <n v="1"/>
    <n v="13"/>
    <n v="3"/>
    <n v="2"/>
    <n v="80"/>
    <n v="1"/>
    <n v="15"/>
    <n v="3"/>
    <n v="15"/>
    <n v="12"/>
    <n v="5"/>
    <n v="11"/>
  </r>
  <r>
    <s v="No"/>
    <s v="Non-Travel"/>
    <x v="2"/>
    <s v="Current Employees"/>
    <x v="1"/>
    <x v="0"/>
    <x v="682"/>
    <x v="682"/>
    <x v="0"/>
    <x v="2"/>
    <x v="1"/>
    <s v="No"/>
    <s v="Y"/>
    <n v="3"/>
    <n v="-2"/>
    <n v="0"/>
    <x v="5"/>
    <x v="1"/>
    <m/>
    <n v="0"/>
    <n v="1"/>
    <n v="1184"/>
    <n v="1"/>
    <x v="3"/>
    <x v="0"/>
    <n v="3"/>
    <n v="70"/>
    <n v="2"/>
    <n v="1"/>
    <x v="3"/>
    <n v="2332"/>
    <n v="3974"/>
    <n v="6"/>
    <n v="20"/>
    <n v="4"/>
    <n v="3"/>
    <n v="80"/>
    <n v="0"/>
    <n v="5"/>
    <n v="3"/>
    <n v="3"/>
    <n v="0"/>
    <n v="0"/>
    <n v="2"/>
  </r>
  <r>
    <s v="Yes"/>
    <s v="Travel_Rarely"/>
    <x v="2"/>
    <s v="Ex-Employees"/>
    <x v="0"/>
    <x v="3"/>
    <x v="683"/>
    <x v="683"/>
    <x v="1"/>
    <x v="6"/>
    <x v="1"/>
    <s v="Yes"/>
    <s v="Y"/>
    <n v="2"/>
    <n v="-2"/>
    <n v="0"/>
    <x v="36"/>
    <x v="0"/>
    <n v="1"/>
    <n v="1"/>
    <n v="0"/>
    <n v="867"/>
    <n v="19"/>
    <x v="0"/>
    <x v="0"/>
    <n v="3"/>
    <n v="36"/>
    <n v="2"/>
    <n v="1"/>
    <x v="1"/>
    <n v="2413"/>
    <n v="18798"/>
    <n v="1"/>
    <n v="18"/>
    <n v="3"/>
    <n v="3"/>
    <n v="80"/>
    <n v="3"/>
    <n v="1"/>
    <n v="3"/>
    <n v="1"/>
    <n v="0"/>
    <n v="0"/>
    <n v="0"/>
  </r>
  <r>
    <s v="No"/>
    <s v="Travel_Rarely"/>
    <x v="0"/>
    <s v="Current Employees"/>
    <x v="0"/>
    <x v="3"/>
    <x v="684"/>
    <x v="684"/>
    <x v="1"/>
    <x v="0"/>
    <x v="2"/>
    <s v="No"/>
    <s v="Y"/>
    <n v="2"/>
    <n v="-2"/>
    <n v="0"/>
    <x v="32"/>
    <x v="1"/>
    <m/>
    <n v="0"/>
    <n v="1"/>
    <n v="658"/>
    <n v="10"/>
    <x v="2"/>
    <x v="0"/>
    <n v="1"/>
    <n v="67"/>
    <n v="2"/>
    <n v="3"/>
    <x v="1"/>
    <n v="9705"/>
    <n v="20652"/>
    <n v="2"/>
    <n v="12"/>
    <n v="3"/>
    <n v="2"/>
    <n v="80"/>
    <n v="1"/>
    <n v="11"/>
    <n v="2"/>
    <n v="1"/>
    <n v="0"/>
    <n v="0"/>
    <n v="0"/>
  </r>
  <r>
    <s v="No"/>
    <s v="Travel_Frequently"/>
    <x v="2"/>
    <s v="Current Employees"/>
    <x v="0"/>
    <x v="2"/>
    <x v="685"/>
    <x v="685"/>
    <x v="1"/>
    <x v="0"/>
    <x v="0"/>
    <s v="No"/>
    <s v="Y"/>
    <n v="2"/>
    <n v="-2"/>
    <n v="0"/>
    <x v="25"/>
    <x v="1"/>
    <m/>
    <n v="0"/>
    <n v="1"/>
    <n v="1283"/>
    <n v="1"/>
    <x v="3"/>
    <x v="0"/>
    <n v="3"/>
    <n v="52"/>
    <n v="2"/>
    <n v="2"/>
    <x v="2"/>
    <n v="4294"/>
    <n v="11148"/>
    <n v="1"/>
    <n v="12"/>
    <n v="3"/>
    <n v="2"/>
    <n v="80"/>
    <n v="0"/>
    <n v="7"/>
    <n v="3"/>
    <n v="7"/>
    <n v="7"/>
    <n v="0"/>
    <n v="7"/>
  </r>
  <r>
    <s v="No"/>
    <s v="Travel_Rarely"/>
    <x v="0"/>
    <s v="Current Employees"/>
    <x v="1"/>
    <x v="2"/>
    <x v="686"/>
    <x v="686"/>
    <x v="1"/>
    <x v="2"/>
    <x v="0"/>
    <s v="Yes"/>
    <s v="Y"/>
    <n v="3"/>
    <n v="-2"/>
    <n v="0"/>
    <x v="0"/>
    <x v="1"/>
    <m/>
    <n v="0"/>
    <n v="1"/>
    <n v="263"/>
    <n v="6"/>
    <x v="3"/>
    <x v="0"/>
    <n v="4"/>
    <n v="59"/>
    <n v="3"/>
    <n v="1"/>
    <x v="2"/>
    <n v="4721"/>
    <n v="3119"/>
    <n v="2"/>
    <n v="13"/>
    <n v="3"/>
    <n v="3"/>
    <n v="80"/>
    <n v="0"/>
    <n v="20"/>
    <n v="3"/>
    <n v="18"/>
    <n v="13"/>
    <n v="2"/>
    <n v="17"/>
  </r>
  <r>
    <s v="No"/>
    <s v="Travel_Rarely"/>
    <x v="0"/>
    <s v="Current Employees"/>
    <x v="1"/>
    <x v="2"/>
    <x v="687"/>
    <x v="687"/>
    <x v="1"/>
    <x v="2"/>
    <x v="0"/>
    <s v="No"/>
    <s v="Y"/>
    <n v="6"/>
    <n v="-2"/>
    <n v="0"/>
    <x v="9"/>
    <x v="1"/>
    <m/>
    <n v="0"/>
    <n v="1"/>
    <n v="938"/>
    <n v="2"/>
    <x v="2"/>
    <x v="0"/>
    <n v="3"/>
    <n v="79"/>
    <n v="3"/>
    <n v="1"/>
    <x v="2"/>
    <n v="2519"/>
    <n v="12287"/>
    <n v="4"/>
    <n v="21"/>
    <n v="4"/>
    <n v="3"/>
    <n v="80"/>
    <n v="0"/>
    <n v="16"/>
    <n v="3"/>
    <n v="11"/>
    <n v="8"/>
    <n v="3"/>
    <n v="9"/>
  </r>
  <r>
    <s v="Yes"/>
    <s v="Travel_Rarely"/>
    <x v="4"/>
    <s v="Ex-Employees"/>
    <x v="0"/>
    <x v="1"/>
    <x v="688"/>
    <x v="688"/>
    <x v="1"/>
    <x v="6"/>
    <x v="0"/>
    <s v="Yes"/>
    <s v="Y"/>
    <n v="3"/>
    <n v="-2"/>
    <n v="0"/>
    <x v="37"/>
    <x v="0"/>
    <n v="1"/>
    <n v="1"/>
    <n v="0"/>
    <n v="419"/>
    <n v="21"/>
    <x v="3"/>
    <x v="0"/>
    <n v="4"/>
    <n v="37"/>
    <n v="2"/>
    <n v="1"/>
    <x v="2"/>
    <n v="2121"/>
    <n v="9947"/>
    <n v="1"/>
    <n v="13"/>
    <n v="3"/>
    <n v="2"/>
    <n v="80"/>
    <n v="0"/>
    <n v="1"/>
    <n v="4"/>
    <n v="1"/>
    <n v="0"/>
    <n v="0"/>
    <n v="0"/>
  </r>
  <r>
    <s v="Yes"/>
    <s v="Travel_Rarely"/>
    <x v="4"/>
    <s v="Ex-Employees"/>
    <x v="1"/>
    <x v="4"/>
    <x v="689"/>
    <x v="689"/>
    <x v="1"/>
    <x v="2"/>
    <x v="0"/>
    <s v="No"/>
    <s v="Y"/>
    <n v="2"/>
    <n v="-2"/>
    <n v="0"/>
    <x v="35"/>
    <x v="0"/>
    <n v="1"/>
    <n v="1"/>
    <n v="0"/>
    <n v="129"/>
    <n v="4"/>
    <x v="3"/>
    <x v="0"/>
    <n v="4"/>
    <n v="84"/>
    <n v="3"/>
    <n v="1"/>
    <x v="0"/>
    <n v="2973"/>
    <n v="13008"/>
    <n v="1"/>
    <n v="19"/>
    <n v="3"/>
    <n v="2"/>
    <n v="80"/>
    <n v="0"/>
    <n v="1"/>
    <n v="3"/>
    <n v="1"/>
    <n v="0"/>
    <n v="0"/>
    <n v="0"/>
  </r>
  <r>
    <s v="No"/>
    <s v="Travel_Rarely"/>
    <x v="2"/>
    <s v="Current Employees"/>
    <x v="1"/>
    <x v="2"/>
    <x v="690"/>
    <x v="690"/>
    <x v="0"/>
    <x v="4"/>
    <x v="1"/>
    <s v="Yes"/>
    <s v="Y"/>
    <n v="2"/>
    <n v="-2"/>
    <n v="0"/>
    <x v="12"/>
    <x v="1"/>
    <m/>
    <n v="0"/>
    <n v="1"/>
    <n v="616"/>
    <n v="12"/>
    <x v="3"/>
    <x v="0"/>
    <n v="4"/>
    <n v="41"/>
    <n v="3"/>
    <n v="2"/>
    <x v="0"/>
    <n v="5855"/>
    <n v="17369"/>
    <n v="0"/>
    <n v="11"/>
    <n v="3"/>
    <n v="3"/>
    <n v="80"/>
    <n v="2"/>
    <n v="10"/>
    <n v="1"/>
    <n v="9"/>
    <n v="7"/>
    <n v="8"/>
    <n v="5"/>
  </r>
  <r>
    <s v="No"/>
    <s v="Travel_Frequently"/>
    <x v="0"/>
    <s v="Current Employees"/>
    <x v="1"/>
    <x v="2"/>
    <x v="691"/>
    <x v="691"/>
    <x v="1"/>
    <x v="1"/>
    <x v="2"/>
    <s v="Yes"/>
    <s v="Y"/>
    <n v="2"/>
    <n v="-2"/>
    <n v="0"/>
    <x v="32"/>
    <x v="1"/>
    <m/>
    <n v="0"/>
    <n v="1"/>
    <n v="1469"/>
    <n v="9"/>
    <x v="2"/>
    <x v="0"/>
    <n v="4"/>
    <n v="35"/>
    <n v="3"/>
    <n v="1"/>
    <x v="2"/>
    <n v="3617"/>
    <n v="25063"/>
    <n v="8"/>
    <n v="14"/>
    <n v="3"/>
    <n v="4"/>
    <n v="80"/>
    <n v="1"/>
    <n v="3"/>
    <n v="3"/>
    <n v="1"/>
    <n v="1"/>
    <n v="0"/>
    <n v="0"/>
  </r>
  <r>
    <s v="No"/>
    <s v="Travel_Rarely"/>
    <x v="2"/>
    <s v="Current Employees"/>
    <x v="1"/>
    <x v="2"/>
    <x v="692"/>
    <x v="692"/>
    <x v="0"/>
    <x v="3"/>
    <x v="1"/>
    <s v="No"/>
    <s v="Y"/>
    <n v="2"/>
    <n v="-2"/>
    <n v="0"/>
    <x v="5"/>
    <x v="1"/>
    <m/>
    <n v="0"/>
    <n v="1"/>
    <n v="498"/>
    <n v="3"/>
    <x v="2"/>
    <x v="0"/>
    <n v="3"/>
    <n v="93"/>
    <n v="3"/>
    <n v="2"/>
    <x v="2"/>
    <n v="6725"/>
    <n v="13554"/>
    <n v="1"/>
    <n v="12"/>
    <n v="3"/>
    <n v="3"/>
    <n v="80"/>
    <n v="1"/>
    <n v="8"/>
    <n v="4"/>
    <n v="8"/>
    <n v="7"/>
    <n v="6"/>
    <n v="3"/>
  </r>
  <r>
    <s v="Yes"/>
    <s v="Travel_Rarely"/>
    <x v="0"/>
    <s v="Ex-Employees"/>
    <x v="0"/>
    <x v="0"/>
    <x v="693"/>
    <x v="693"/>
    <x v="1"/>
    <x v="0"/>
    <x v="1"/>
    <s v="Yes"/>
    <s v="Y"/>
    <n v="6"/>
    <n v="-2"/>
    <n v="0"/>
    <x v="9"/>
    <x v="0"/>
    <n v="1"/>
    <n v="1"/>
    <n v="0"/>
    <n v="530"/>
    <n v="3"/>
    <x v="1"/>
    <x v="0"/>
    <n v="3"/>
    <n v="51"/>
    <n v="2"/>
    <n v="3"/>
    <x v="3"/>
    <n v="10325"/>
    <n v="5518"/>
    <n v="1"/>
    <n v="11"/>
    <n v="3"/>
    <n v="1"/>
    <n v="80"/>
    <n v="1"/>
    <n v="16"/>
    <n v="3"/>
    <n v="16"/>
    <n v="7"/>
    <n v="3"/>
    <n v="7"/>
  </r>
  <r>
    <s v="No"/>
    <s v="Travel_Rarely"/>
    <x v="2"/>
    <s v="Current Employees"/>
    <x v="1"/>
    <x v="0"/>
    <x v="694"/>
    <x v="694"/>
    <x v="0"/>
    <x v="4"/>
    <x v="0"/>
    <s v="No"/>
    <s v="Y"/>
    <n v="3"/>
    <n v="-2"/>
    <n v="0"/>
    <x v="3"/>
    <x v="1"/>
    <m/>
    <n v="0"/>
    <n v="1"/>
    <n v="1069"/>
    <n v="1"/>
    <x v="3"/>
    <x v="0"/>
    <n v="2"/>
    <n v="42"/>
    <n v="2"/>
    <n v="2"/>
    <x v="3"/>
    <n v="6949"/>
    <n v="12291"/>
    <n v="0"/>
    <n v="14"/>
    <n v="3"/>
    <n v="1"/>
    <n v="80"/>
    <n v="0"/>
    <n v="6"/>
    <n v="3"/>
    <n v="5"/>
    <n v="0"/>
    <n v="1"/>
    <n v="4"/>
  </r>
  <r>
    <s v="Yes"/>
    <s v="Travel_Rarely"/>
    <x v="0"/>
    <s v="Ex-Employees"/>
    <x v="0"/>
    <x v="0"/>
    <x v="695"/>
    <x v="695"/>
    <x v="1"/>
    <x v="0"/>
    <x v="1"/>
    <s v="No"/>
    <s v="Y"/>
    <n v="2"/>
    <n v="-2"/>
    <n v="0"/>
    <x v="2"/>
    <x v="0"/>
    <n v="1"/>
    <n v="1"/>
    <n v="0"/>
    <n v="625"/>
    <n v="1"/>
    <x v="2"/>
    <x v="0"/>
    <n v="1"/>
    <n v="46"/>
    <n v="2"/>
    <n v="3"/>
    <x v="3"/>
    <n v="10609"/>
    <n v="14922"/>
    <n v="5"/>
    <n v="11"/>
    <n v="3"/>
    <n v="3"/>
    <n v="80"/>
    <n v="0"/>
    <n v="17"/>
    <n v="1"/>
    <n v="14"/>
    <n v="1"/>
    <n v="11"/>
    <n v="7"/>
  </r>
  <r>
    <s v="No"/>
    <s v="Non-Travel"/>
    <x v="1"/>
    <s v="Current Employees"/>
    <x v="1"/>
    <x v="0"/>
    <x v="696"/>
    <x v="696"/>
    <x v="1"/>
    <x v="2"/>
    <x v="1"/>
    <s v="No"/>
    <s v="Y"/>
    <n v="5"/>
    <n v="-2"/>
    <n v="0"/>
    <x v="28"/>
    <x v="1"/>
    <m/>
    <n v="0"/>
    <n v="1"/>
    <n v="805"/>
    <n v="4"/>
    <x v="0"/>
    <x v="0"/>
    <n v="3"/>
    <n v="57"/>
    <n v="3"/>
    <n v="2"/>
    <x v="3"/>
    <n v="4447"/>
    <n v="23163"/>
    <n v="1"/>
    <n v="12"/>
    <n v="3"/>
    <n v="2"/>
    <n v="80"/>
    <n v="0"/>
    <n v="9"/>
    <n v="2"/>
    <n v="9"/>
    <n v="7"/>
    <n v="0"/>
    <n v="8"/>
  </r>
  <r>
    <s v="No"/>
    <s v="Travel_Frequently"/>
    <x v="2"/>
    <s v="Current Employees"/>
    <x v="0"/>
    <x v="4"/>
    <x v="697"/>
    <x v="697"/>
    <x v="0"/>
    <x v="6"/>
    <x v="1"/>
    <s v="No"/>
    <s v="Y"/>
    <n v="5"/>
    <n v="-2"/>
    <n v="0"/>
    <x v="11"/>
    <x v="1"/>
    <m/>
    <n v="0"/>
    <n v="1"/>
    <n v="1404"/>
    <n v="20"/>
    <x v="3"/>
    <x v="0"/>
    <n v="4"/>
    <n v="84"/>
    <n v="3"/>
    <n v="1"/>
    <x v="0"/>
    <n v="2157"/>
    <n v="18203"/>
    <n v="1"/>
    <n v="15"/>
    <n v="3"/>
    <n v="2"/>
    <n v="80"/>
    <n v="1"/>
    <n v="3"/>
    <n v="3"/>
    <n v="3"/>
    <n v="1"/>
    <n v="0"/>
    <n v="2"/>
  </r>
  <r>
    <s v="No"/>
    <s v="Travel_Rarely"/>
    <x v="0"/>
    <s v="Current Employees"/>
    <x v="0"/>
    <x v="2"/>
    <x v="698"/>
    <x v="698"/>
    <x v="0"/>
    <x v="0"/>
    <x v="1"/>
    <s v="No"/>
    <s v="Y"/>
    <n v="3"/>
    <n v="-2"/>
    <n v="0"/>
    <x v="10"/>
    <x v="1"/>
    <m/>
    <n v="0"/>
    <n v="1"/>
    <n v="1219"/>
    <n v="18"/>
    <x v="3"/>
    <x v="0"/>
    <n v="3"/>
    <n v="86"/>
    <n v="3"/>
    <n v="2"/>
    <x v="2"/>
    <n v="4601"/>
    <n v="6179"/>
    <n v="1"/>
    <n v="16"/>
    <n v="3"/>
    <n v="2"/>
    <n v="80"/>
    <n v="0"/>
    <n v="5"/>
    <n v="3"/>
    <n v="5"/>
    <n v="2"/>
    <n v="1"/>
    <n v="0"/>
  </r>
  <r>
    <s v="No"/>
    <s v="Travel_Rarely"/>
    <x v="1"/>
    <s v="Current Employees"/>
    <x v="1"/>
    <x v="0"/>
    <x v="699"/>
    <x v="699"/>
    <x v="1"/>
    <x v="5"/>
    <x v="1"/>
    <s v="No"/>
    <s v="Y"/>
    <n v="2"/>
    <n v="-2"/>
    <n v="0"/>
    <x v="39"/>
    <x v="1"/>
    <m/>
    <n v="0"/>
    <n v="1"/>
    <n v="1053"/>
    <n v="1"/>
    <x v="0"/>
    <x v="0"/>
    <n v="4"/>
    <n v="70"/>
    <n v="3"/>
    <n v="4"/>
    <x v="3"/>
    <n v="17099"/>
    <n v="13829"/>
    <n v="2"/>
    <n v="15"/>
    <n v="3"/>
    <n v="2"/>
    <n v="80"/>
    <n v="1"/>
    <n v="26"/>
    <n v="2"/>
    <n v="9"/>
    <n v="8"/>
    <n v="7"/>
    <n v="8"/>
  </r>
  <r>
    <s v="Yes"/>
    <s v="Travel_Rarely"/>
    <x v="3"/>
    <s v="Ex-Employees"/>
    <x v="1"/>
    <x v="4"/>
    <x v="700"/>
    <x v="700"/>
    <x v="1"/>
    <x v="1"/>
    <x v="0"/>
    <s v="No"/>
    <s v="Y"/>
    <n v="4"/>
    <n v="-2"/>
    <n v="0"/>
    <x v="34"/>
    <x v="0"/>
    <n v="1"/>
    <n v="1"/>
    <n v="0"/>
    <n v="289"/>
    <n v="2"/>
    <x v="3"/>
    <x v="0"/>
    <n v="4"/>
    <n v="51"/>
    <n v="3"/>
    <n v="1"/>
    <x v="0"/>
    <n v="2479"/>
    <n v="26227"/>
    <n v="4"/>
    <n v="24"/>
    <n v="4"/>
    <n v="1"/>
    <n v="80"/>
    <n v="0"/>
    <n v="7"/>
    <n v="3"/>
    <n v="1"/>
    <n v="0"/>
    <n v="0"/>
    <n v="0"/>
  </r>
  <r>
    <s v="No"/>
    <s v="Travel_Rarely"/>
    <x v="1"/>
    <s v="Current Employees"/>
    <x v="0"/>
    <x v="2"/>
    <x v="701"/>
    <x v="701"/>
    <x v="1"/>
    <x v="5"/>
    <x v="2"/>
    <s v="No"/>
    <s v="Y"/>
    <n v="3"/>
    <n v="-2"/>
    <n v="0"/>
    <x v="16"/>
    <x v="1"/>
    <m/>
    <n v="0"/>
    <n v="1"/>
    <n v="1376"/>
    <n v="2"/>
    <x v="0"/>
    <x v="0"/>
    <n v="3"/>
    <n v="45"/>
    <n v="3"/>
    <n v="4"/>
    <x v="2"/>
    <n v="14852"/>
    <n v="13938"/>
    <n v="6"/>
    <n v="13"/>
    <n v="3"/>
    <n v="3"/>
    <n v="80"/>
    <n v="1"/>
    <n v="22"/>
    <n v="4"/>
    <n v="17"/>
    <n v="13"/>
    <n v="15"/>
    <n v="2"/>
  </r>
  <r>
    <s v="No"/>
    <s v="Travel_Rarely"/>
    <x v="2"/>
    <s v="Current Employees"/>
    <x v="0"/>
    <x v="1"/>
    <x v="702"/>
    <x v="702"/>
    <x v="1"/>
    <x v="0"/>
    <x v="2"/>
    <s v="No"/>
    <s v="Y"/>
    <n v="2"/>
    <n v="-2"/>
    <n v="0"/>
    <x v="7"/>
    <x v="1"/>
    <m/>
    <n v="0"/>
    <n v="1"/>
    <n v="231"/>
    <n v="8"/>
    <x v="0"/>
    <x v="0"/>
    <n v="3"/>
    <n v="62"/>
    <n v="3"/>
    <n v="3"/>
    <x v="2"/>
    <n v="7264"/>
    <n v="9977"/>
    <n v="5"/>
    <n v="11"/>
    <n v="3"/>
    <n v="1"/>
    <n v="80"/>
    <n v="1"/>
    <n v="10"/>
    <n v="4"/>
    <n v="8"/>
    <n v="4"/>
    <n v="7"/>
    <n v="7"/>
  </r>
  <r>
    <s v="No"/>
    <s v="Non-Travel"/>
    <x v="0"/>
    <s v="Current Employees"/>
    <x v="0"/>
    <x v="4"/>
    <x v="703"/>
    <x v="703"/>
    <x v="0"/>
    <x v="0"/>
    <x v="0"/>
    <s v="Yes"/>
    <s v="Y"/>
    <n v="1"/>
    <n v="-2"/>
    <n v="0"/>
    <x v="8"/>
    <x v="1"/>
    <m/>
    <n v="0"/>
    <n v="1"/>
    <n v="152"/>
    <n v="10"/>
    <x v="3"/>
    <x v="0"/>
    <n v="4"/>
    <n v="85"/>
    <n v="3"/>
    <n v="2"/>
    <x v="0"/>
    <n v="5666"/>
    <n v="19899"/>
    <n v="1"/>
    <n v="13"/>
    <n v="3"/>
    <n v="2"/>
    <n v="80"/>
    <n v="0"/>
    <n v="6"/>
    <n v="3"/>
    <n v="5"/>
    <n v="3"/>
    <n v="1"/>
    <n v="3"/>
  </r>
  <r>
    <s v="No"/>
    <s v="Travel_Rarely"/>
    <x v="0"/>
    <s v="Current Employees"/>
    <x v="0"/>
    <x v="0"/>
    <x v="704"/>
    <x v="704"/>
    <x v="1"/>
    <x v="0"/>
    <x v="2"/>
    <s v="No"/>
    <s v="Y"/>
    <n v="2"/>
    <n v="-2"/>
    <n v="0"/>
    <x v="10"/>
    <x v="1"/>
    <m/>
    <n v="0"/>
    <n v="1"/>
    <n v="882"/>
    <n v="3"/>
    <x v="2"/>
    <x v="0"/>
    <n v="4"/>
    <n v="92"/>
    <n v="3"/>
    <n v="3"/>
    <x v="3"/>
    <n v="7823"/>
    <n v="6812"/>
    <n v="6"/>
    <n v="13"/>
    <n v="3"/>
    <n v="2"/>
    <n v="80"/>
    <n v="1"/>
    <n v="12"/>
    <n v="3"/>
    <n v="10"/>
    <n v="9"/>
    <n v="0"/>
    <n v="8"/>
  </r>
  <r>
    <s v="No"/>
    <s v="Travel_Rarely"/>
    <x v="0"/>
    <s v="Current Employees"/>
    <x v="0"/>
    <x v="0"/>
    <x v="705"/>
    <x v="705"/>
    <x v="1"/>
    <x v="0"/>
    <x v="0"/>
    <s v="No"/>
    <s v="Y"/>
    <n v="3"/>
    <n v="-2"/>
    <n v="0"/>
    <x v="22"/>
    <x v="1"/>
    <m/>
    <n v="0"/>
    <n v="1"/>
    <n v="903"/>
    <n v="2"/>
    <x v="4"/>
    <x v="0"/>
    <n v="1"/>
    <n v="41"/>
    <n v="4"/>
    <n v="3"/>
    <x v="3"/>
    <n v="7880"/>
    <n v="2560"/>
    <n v="0"/>
    <n v="18"/>
    <n v="3"/>
    <n v="4"/>
    <n v="80"/>
    <n v="0"/>
    <n v="9"/>
    <n v="3"/>
    <n v="8"/>
    <n v="7"/>
    <n v="0"/>
    <n v="7"/>
  </r>
  <r>
    <s v="Yes"/>
    <s v="Non-Travel"/>
    <x v="0"/>
    <s v="Ex-Employees"/>
    <x v="0"/>
    <x v="0"/>
    <x v="706"/>
    <x v="706"/>
    <x v="0"/>
    <x v="0"/>
    <x v="0"/>
    <s v="Yes"/>
    <s v="Y"/>
    <n v="2"/>
    <n v="-2"/>
    <n v="0"/>
    <x v="32"/>
    <x v="0"/>
    <n v="1"/>
    <n v="1"/>
    <n v="0"/>
    <n v="1479"/>
    <n v="24"/>
    <x v="3"/>
    <x v="0"/>
    <n v="2"/>
    <n v="100"/>
    <n v="4"/>
    <n v="4"/>
    <x v="3"/>
    <n v="13194"/>
    <n v="17071"/>
    <n v="4"/>
    <n v="16"/>
    <n v="3"/>
    <n v="4"/>
    <n v="80"/>
    <n v="0"/>
    <n v="22"/>
    <n v="2"/>
    <n v="1"/>
    <n v="0"/>
    <n v="0"/>
    <n v="0"/>
  </r>
  <r>
    <s v="No"/>
    <s v="Travel_Frequently"/>
    <x v="1"/>
    <s v="Current Employees"/>
    <x v="1"/>
    <x v="2"/>
    <x v="707"/>
    <x v="707"/>
    <x v="1"/>
    <x v="3"/>
    <x v="2"/>
    <s v="Yes"/>
    <s v="Y"/>
    <n v="3"/>
    <n v="-2"/>
    <n v="0"/>
    <x v="40"/>
    <x v="1"/>
    <m/>
    <n v="0"/>
    <n v="1"/>
    <n v="1379"/>
    <n v="16"/>
    <x v="2"/>
    <x v="0"/>
    <n v="3"/>
    <n v="64"/>
    <n v="4"/>
    <n v="2"/>
    <x v="2"/>
    <n v="5067"/>
    <n v="6759"/>
    <n v="1"/>
    <n v="19"/>
    <n v="3"/>
    <n v="3"/>
    <n v="80"/>
    <n v="0"/>
    <n v="20"/>
    <n v="4"/>
    <n v="19"/>
    <n v="10"/>
    <n v="2"/>
    <n v="7"/>
  </r>
  <r>
    <s v="No"/>
    <s v="Non-Travel"/>
    <x v="0"/>
    <s v="Current Employees"/>
    <x v="0"/>
    <x v="4"/>
    <x v="708"/>
    <x v="708"/>
    <x v="1"/>
    <x v="0"/>
    <x v="2"/>
    <s v="No"/>
    <s v="Y"/>
    <n v="3"/>
    <n v="-2"/>
    <n v="0"/>
    <x v="9"/>
    <x v="1"/>
    <m/>
    <n v="0"/>
    <n v="1"/>
    <n v="1229"/>
    <n v="8"/>
    <x v="2"/>
    <x v="0"/>
    <n v="4"/>
    <n v="84"/>
    <n v="3"/>
    <n v="2"/>
    <x v="0"/>
    <n v="5079"/>
    <n v="25952"/>
    <n v="4"/>
    <n v="13"/>
    <n v="3"/>
    <n v="4"/>
    <n v="80"/>
    <n v="2"/>
    <n v="12"/>
    <n v="3"/>
    <n v="7"/>
    <n v="7"/>
    <n v="0"/>
    <n v="7"/>
  </r>
  <r>
    <s v="Yes"/>
    <s v="Non-Travel"/>
    <x v="2"/>
    <s v="Ex-Employees"/>
    <x v="1"/>
    <x v="2"/>
    <x v="709"/>
    <x v="709"/>
    <x v="1"/>
    <x v="1"/>
    <x v="0"/>
    <s v="Yes"/>
    <s v="Y"/>
    <n v="0"/>
    <n v="-2"/>
    <n v="0"/>
    <x v="12"/>
    <x v="0"/>
    <n v="1"/>
    <n v="1"/>
    <n v="0"/>
    <n v="335"/>
    <n v="9"/>
    <x v="0"/>
    <x v="0"/>
    <n v="3"/>
    <n v="46"/>
    <n v="2"/>
    <n v="1"/>
    <x v="2"/>
    <n v="2321"/>
    <n v="10322"/>
    <n v="0"/>
    <n v="22"/>
    <n v="4"/>
    <n v="1"/>
    <n v="80"/>
    <n v="0"/>
    <n v="4"/>
    <n v="3"/>
    <n v="3"/>
    <n v="2"/>
    <n v="1"/>
    <n v="2"/>
  </r>
  <r>
    <s v="No"/>
    <s v="Non-Travel"/>
    <x v="2"/>
    <s v="Current Employees"/>
    <x v="0"/>
    <x v="0"/>
    <x v="710"/>
    <x v="710"/>
    <x v="1"/>
    <x v="5"/>
    <x v="0"/>
    <s v="No"/>
    <s v="Y"/>
    <n v="2"/>
    <n v="-2"/>
    <n v="0"/>
    <x v="3"/>
    <x v="1"/>
    <m/>
    <n v="0"/>
    <n v="1"/>
    <n v="722"/>
    <n v="17"/>
    <x v="3"/>
    <x v="0"/>
    <n v="4"/>
    <n v="38"/>
    <n v="3"/>
    <n v="4"/>
    <x v="3"/>
    <n v="17444"/>
    <n v="20489"/>
    <n v="1"/>
    <n v="11"/>
    <n v="3"/>
    <n v="4"/>
    <n v="80"/>
    <n v="0"/>
    <n v="10"/>
    <n v="3"/>
    <n v="10"/>
    <n v="8"/>
    <n v="6"/>
    <n v="0"/>
  </r>
  <r>
    <s v="Yes"/>
    <s v="Travel_Rarely"/>
    <x v="2"/>
    <s v="Ex-Employees"/>
    <x v="1"/>
    <x v="0"/>
    <x v="711"/>
    <x v="711"/>
    <x v="0"/>
    <x v="1"/>
    <x v="0"/>
    <s v="Yes"/>
    <s v="Y"/>
    <n v="5"/>
    <n v="-2"/>
    <n v="0"/>
    <x v="11"/>
    <x v="0"/>
    <n v="1"/>
    <n v="1"/>
    <n v="0"/>
    <n v="906"/>
    <n v="10"/>
    <x v="3"/>
    <x v="0"/>
    <n v="4"/>
    <n v="92"/>
    <n v="2"/>
    <n v="1"/>
    <x v="3"/>
    <n v="2404"/>
    <n v="11479"/>
    <n v="6"/>
    <n v="20"/>
    <n v="4"/>
    <n v="3"/>
    <n v="80"/>
    <n v="0"/>
    <n v="3"/>
    <n v="3"/>
    <n v="0"/>
    <n v="0"/>
    <n v="0"/>
    <n v="0"/>
  </r>
  <r>
    <s v="No"/>
    <s v="Travel_Rarely"/>
    <x v="2"/>
    <s v="Current Employees"/>
    <x v="1"/>
    <x v="0"/>
    <x v="712"/>
    <x v="712"/>
    <x v="0"/>
    <x v="1"/>
    <x v="0"/>
    <s v="No"/>
    <s v="Y"/>
    <n v="4"/>
    <n v="-2"/>
    <n v="0"/>
    <x v="3"/>
    <x v="1"/>
    <m/>
    <n v="0"/>
    <n v="1"/>
    <n v="461"/>
    <n v="13"/>
    <x v="1"/>
    <x v="0"/>
    <n v="2"/>
    <n v="53"/>
    <n v="3"/>
    <n v="1"/>
    <x v="3"/>
    <n v="3452"/>
    <n v="17241"/>
    <n v="3"/>
    <n v="18"/>
    <n v="3"/>
    <n v="1"/>
    <n v="80"/>
    <n v="0"/>
    <n v="5"/>
    <n v="3"/>
    <n v="3"/>
    <n v="2"/>
    <n v="0"/>
    <n v="2"/>
  </r>
  <r>
    <s v="No"/>
    <s v="Travel_Rarely"/>
    <x v="1"/>
    <s v="Current Employees"/>
    <x v="1"/>
    <x v="2"/>
    <x v="713"/>
    <x v="713"/>
    <x v="0"/>
    <x v="2"/>
    <x v="2"/>
    <s v="No"/>
    <s v="Y"/>
    <n v="2"/>
    <n v="-2"/>
    <n v="0"/>
    <x v="28"/>
    <x v="1"/>
    <m/>
    <n v="0"/>
    <n v="1"/>
    <n v="974"/>
    <n v="1"/>
    <x v="2"/>
    <x v="0"/>
    <n v="4"/>
    <n v="91"/>
    <n v="3"/>
    <n v="1"/>
    <x v="0"/>
    <n v="2270"/>
    <n v="11005"/>
    <n v="3"/>
    <n v="14"/>
    <n v="3"/>
    <n v="4"/>
    <n v="80"/>
    <n v="2"/>
    <n v="8"/>
    <n v="3"/>
    <n v="5"/>
    <n v="3"/>
    <n v="0"/>
    <n v="2"/>
  </r>
  <r>
    <s v="No"/>
    <s v="Travel_Rarely"/>
    <x v="1"/>
    <s v="Current Employees"/>
    <x v="1"/>
    <x v="2"/>
    <x v="714"/>
    <x v="714"/>
    <x v="1"/>
    <x v="7"/>
    <x v="2"/>
    <s v="No"/>
    <s v="Y"/>
    <n v="1"/>
    <n v="-2"/>
    <n v="0"/>
    <x v="24"/>
    <x v="1"/>
    <m/>
    <n v="0"/>
    <n v="1"/>
    <n v="1126"/>
    <n v="1"/>
    <x v="0"/>
    <x v="0"/>
    <n v="4"/>
    <n v="66"/>
    <n v="3"/>
    <n v="4"/>
    <x v="0"/>
    <n v="17399"/>
    <n v="6615"/>
    <n v="9"/>
    <n v="22"/>
    <n v="4"/>
    <n v="3"/>
    <n v="80"/>
    <n v="1"/>
    <n v="32"/>
    <n v="2"/>
    <n v="5"/>
    <n v="4"/>
    <n v="1"/>
    <n v="3"/>
  </r>
  <r>
    <s v="No"/>
    <s v="Travel_Frequently"/>
    <x v="2"/>
    <s v="Current Employees"/>
    <x v="1"/>
    <x v="1"/>
    <x v="715"/>
    <x v="715"/>
    <x v="0"/>
    <x v="4"/>
    <x v="1"/>
    <s v="Yes"/>
    <s v="Y"/>
    <n v="2"/>
    <n v="-2"/>
    <n v="0"/>
    <x v="3"/>
    <x v="1"/>
    <m/>
    <n v="0"/>
    <n v="1"/>
    <n v="827"/>
    <n v="1"/>
    <x v="2"/>
    <x v="0"/>
    <n v="3"/>
    <n v="84"/>
    <n v="4"/>
    <n v="2"/>
    <x v="2"/>
    <n v="5488"/>
    <n v="20161"/>
    <n v="1"/>
    <n v="13"/>
    <n v="3"/>
    <n v="1"/>
    <n v="80"/>
    <n v="1"/>
    <n v="6"/>
    <n v="3"/>
    <n v="6"/>
    <n v="5"/>
    <n v="1"/>
    <n v="2"/>
  </r>
  <r>
    <s v="No"/>
    <s v="Travel_Frequently"/>
    <x v="0"/>
    <s v="Current Employees"/>
    <x v="1"/>
    <x v="2"/>
    <x v="716"/>
    <x v="716"/>
    <x v="1"/>
    <x v="7"/>
    <x v="2"/>
    <s v="No"/>
    <s v="Y"/>
    <n v="2"/>
    <n v="-2"/>
    <n v="0"/>
    <x v="0"/>
    <x v="1"/>
    <m/>
    <n v="0"/>
    <n v="1"/>
    <n v="840"/>
    <n v="9"/>
    <x v="3"/>
    <x v="0"/>
    <n v="1"/>
    <n v="64"/>
    <n v="3"/>
    <n v="5"/>
    <x v="2"/>
    <n v="19419"/>
    <n v="3735"/>
    <n v="2"/>
    <n v="17"/>
    <n v="3"/>
    <n v="2"/>
    <n v="80"/>
    <n v="1"/>
    <n v="21"/>
    <n v="4"/>
    <n v="18"/>
    <n v="16"/>
    <n v="0"/>
    <n v="11"/>
  </r>
  <r>
    <s v="No"/>
    <s v="Travel_Rarely"/>
    <x v="2"/>
    <s v="Current Employees"/>
    <x v="1"/>
    <x v="4"/>
    <x v="717"/>
    <x v="717"/>
    <x v="0"/>
    <x v="2"/>
    <x v="1"/>
    <s v="No"/>
    <s v="Y"/>
    <n v="2"/>
    <n v="-2"/>
    <n v="0"/>
    <x v="4"/>
    <x v="1"/>
    <m/>
    <n v="0"/>
    <n v="1"/>
    <n v="1134"/>
    <n v="16"/>
    <x v="2"/>
    <x v="0"/>
    <n v="4"/>
    <n v="37"/>
    <n v="3"/>
    <n v="1"/>
    <x v="0"/>
    <n v="2811"/>
    <n v="12086"/>
    <n v="9"/>
    <n v="14"/>
    <n v="3"/>
    <n v="2"/>
    <n v="80"/>
    <n v="1"/>
    <n v="4"/>
    <n v="3"/>
    <n v="2"/>
    <n v="2"/>
    <n v="2"/>
    <n v="2"/>
  </r>
  <r>
    <s v="No"/>
    <s v="Non-Travel"/>
    <x v="1"/>
    <s v="Current Employees"/>
    <x v="1"/>
    <x v="0"/>
    <x v="718"/>
    <x v="718"/>
    <x v="1"/>
    <x v="2"/>
    <x v="1"/>
    <s v="Yes"/>
    <s v="Y"/>
    <n v="2"/>
    <n v="-2"/>
    <n v="0"/>
    <x v="28"/>
    <x v="1"/>
    <m/>
    <n v="0"/>
    <n v="1"/>
    <n v="248"/>
    <n v="23"/>
    <x v="0"/>
    <x v="0"/>
    <n v="4"/>
    <n v="42"/>
    <n v="3"/>
    <n v="2"/>
    <x v="3"/>
    <n v="3633"/>
    <n v="14039"/>
    <n v="1"/>
    <n v="15"/>
    <n v="3"/>
    <n v="3"/>
    <n v="80"/>
    <n v="1"/>
    <n v="9"/>
    <n v="3"/>
    <n v="9"/>
    <n v="8"/>
    <n v="0"/>
    <n v="8"/>
  </r>
  <r>
    <s v="No"/>
    <s v="Travel_Rarely"/>
    <x v="1"/>
    <s v="Current Employees"/>
    <x v="0"/>
    <x v="0"/>
    <x v="719"/>
    <x v="719"/>
    <x v="0"/>
    <x v="0"/>
    <x v="0"/>
    <s v="Yes"/>
    <s v="Y"/>
    <n v="0"/>
    <n v="-2"/>
    <n v="0"/>
    <x v="40"/>
    <x v="1"/>
    <m/>
    <n v="0"/>
    <n v="1"/>
    <n v="955"/>
    <n v="4"/>
    <x v="0"/>
    <x v="0"/>
    <n v="4"/>
    <n v="83"/>
    <n v="3"/>
    <n v="2"/>
    <x v="3"/>
    <n v="4163"/>
    <n v="8571"/>
    <n v="1"/>
    <n v="17"/>
    <n v="3"/>
    <n v="3"/>
    <n v="80"/>
    <n v="0"/>
    <n v="9"/>
    <n v="3"/>
    <n v="9"/>
    <n v="0"/>
    <n v="0"/>
    <n v="7"/>
  </r>
  <r>
    <s v="Yes"/>
    <s v="Travel_Rarely"/>
    <x v="2"/>
    <s v="Ex-Employees"/>
    <x v="1"/>
    <x v="0"/>
    <x v="720"/>
    <x v="720"/>
    <x v="0"/>
    <x v="1"/>
    <x v="1"/>
    <s v="Yes"/>
    <s v="Y"/>
    <n v="2"/>
    <n v="-2"/>
    <n v="0"/>
    <x v="7"/>
    <x v="0"/>
    <n v="1"/>
    <n v="1"/>
    <n v="0"/>
    <n v="138"/>
    <n v="22"/>
    <x v="3"/>
    <x v="0"/>
    <n v="1"/>
    <n v="48"/>
    <n v="3"/>
    <n v="1"/>
    <x v="3"/>
    <n v="2132"/>
    <n v="11539"/>
    <n v="4"/>
    <n v="11"/>
    <n v="3"/>
    <n v="2"/>
    <n v="80"/>
    <n v="0"/>
    <n v="7"/>
    <n v="3"/>
    <n v="5"/>
    <n v="2"/>
    <n v="0"/>
    <n v="1"/>
  </r>
  <r>
    <s v="No"/>
    <s v="Travel_Rarely"/>
    <x v="1"/>
    <s v="Current Employees"/>
    <x v="1"/>
    <x v="0"/>
    <x v="721"/>
    <x v="721"/>
    <x v="1"/>
    <x v="3"/>
    <x v="1"/>
    <s v="Yes"/>
    <s v="Y"/>
    <n v="2"/>
    <n v="-2"/>
    <n v="0"/>
    <x v="24"/>
    <x v="1"/>
    <m/>
    <n v="0"/>
    <n v="1"/>
    <n v="939"/>
    <n v="24"/>
    <x v="3"/>
    <x v="0"/>
    <n v="4"/>
    <n v="95"/>
    <n v="3"/>
    <n v="4"/>
    <x v="3"/>
    <n v="13973"/>
    <n v="4161"/>
    <n v="3"/>
    <n v="18"/>
    <n v="3"/>
    <n v="4"/>
    <n v="80"/>
    <n v="1"/>
    <n v="22"/>
    <n v="3"/>
    <n v="12"/>
    <n v="11"/>
    <n v="1"/>
    <n v="5"/>
  </r>
  <r>
    <s v="No"/>
    <s v="Travel_Frequently"/>
    <x v="0"/>
    <s v="Current Employees"/>
    <x v="1"/>
    <x v="2"/>
    <x v="722"/>
    <x v="722"/>
    <x v="1"/>
    <x v="1"/>
    <x v="1"/>
    <s v="No"/>
    <s v="Y"/>
    <n v="0"/>
    <n v="-2"/>
    <n v="0"/>
    <x v="8"/>
    <x v="1"/>
    <m/>
    <n v="0"/>
    <n v="1"/>
    <n v="1391"/>
    <n v="10"/>
    <x v="1"/>
    <x v="0"/>
    <n v="3"/>
    <n v="66"/>
    <n v="3"/>
    <n v="1"/>
    <x v="2"/>
    <n v="2684"/>
    <n v="12127"/>
    <n v="0"/>
    <n v="17"/>
    <n v="3"/>
    <n v="2"/>
    <n v="80"/>
    <n v="1"/>
    <n v="3"/>
    <n v="2"/>
    <n v="2"/>
    <n v="1"/>
    <n v="0"/>
    <n v="2"/>
  </r>
  <r>
    <s v="No"/>
    <s v="Travel_Rarely"/>
    <x v="1"/>
    <s v="Current Employees"/>
    <x v="1"/>
    <x v="2"/>
    <x v="723"/>
    <x v="723"/>
    <x v="1"/>
    <x v="3"/>
    <x v="2"/>
    <s v="No"/>
    <s v="Y"/>
    <n v="3"/>
    <n v="-2"/>
    <n v="0"/>
    <x v="21"/>
    <x v="1"/>
    <m/>
    <n v="0"/>
    <n v="1"/>
    <n v="566"/>
    <n v="7"/>
    <x v="0"/>
    <x v="0"/>
    <n v="4"/>
    <n v="75"/>
    <n v="3"/>
    <n v="3"/>
    <x v="2"/>
    <n v="10845"/>
    <n v="24208"/>
    <n v="6"/>
    <n v="13"/>
    <n v="3"/>
    <n v="2"/>
    <n v="80"/>
    <n v="1"/>
    <n v="13"/>
    <n v="3"/>
    <n v="8"/>
    <n v="7"/>
    <n v="0"/>
    <n v="7"/>
  </r>
  <r>
    <s v="No"/>
    <s v="Travel_Rarely"/>
    <x v="4"/>
    <s v="Current Employees"/>
    <x v="1"/>
    <x v="2"/>
    <x v="724"/>
    <x v="724"/>
    <x v="0"/>
    <x v="3"/>
    <x v="2"/>
    <s v="No"/>
    <s v="Y"/>
    <n v="6"/>
    <n v="-2"/>
    <n v="0"/>
    <x v="17"/>
    <x v="1"/>
    <m/>
    <n v="0"/>
    <n v="1"/>
    <n v="1206"/>
    <n v="17"/>
    <x v="1"/>
    <x v="0"/>
    <n v="4"/>
    <n v="41"/>
    <n v="2"/>
    <n v="2"/>
    <x v="2"/>
    <n v="4377"/>
    <n v="24117"/>
    <n v="1"/>
    <n v="15"/>
    <n v="3"/>
    <n v="2"/>
    <n v="80"/>
    <n v="2"/>
    <n v="5"/>
    <n v="3"/>
    <n v="4"/>
    <n v="2"/>
    <n v="3"/>
    <n v="2"/>
  </r>
  <r>
    <s v="Yes"/>
    <s v="Travel_Rarely"/>
    <x v="0"/>
    <s v="Ex-Employees"/>
    <x v="1"/>
    <x v="1"/>
    <x v="725"/>
    <x v="725"/>
    <x v="1"/>
    <x v="2"/>
    <x v="2"/>
    <s v="Yes"/>
    <s v="Y"/>
    <n v="2"/>
    <n v="-2"/>
    <n v="0"/>
    <x v="10"/>
    <x v="0"/>
    <n v="1"/>
    <n v="1"/>
    <n v="0"/>
    <n v="622"/>
    <n v="14"/>
    <x v="2"/>
    <x v="0"/>
    <n v="3"/>
    <n v="39"/>
    <n v="2"/>
    <n v="1"/>
    <x v="2"/>
    <n v="3743"/>
    <n v="10074"/>
    <n v="1"/>
    <n v="24"/>
    <n v="4"/>
    <n v="4"/>
    <n v="80"/>
    <n v="1"/>
    <n v="5"/>
    <n v="1"/>
    <n v="4"/>
    <n v="2"/>
    <n v="0"/>
    <n v="2"/>
  </r>
  <r>
    <s v="No"/>
    <s v="Travel_Frequently"/>
    <x v="2"/>
    <s v="Current Employees"/>
    <x v="1"/>
    <x v="0"/>
    <x v="726"/>
    <x v="726"/>
    <x v="0"/>
    <x v="3"/>
    <x v="1"/>
    <s v="No"/>
    <s v="Y"/>
    <n v="1"/>
    <n v="-2"/>
    <n v="0"/>
    <x v="12"/>
    <x v="1"/>
    <m/>
    <n v="0"/>
    <n v="1"/>
    <n v="853"/>
    <n v="1"/>
    <x v="1"/>
    <x v="0"/>
    <n v="3"/>
    <n v="96"/>
    <n v="3"/>
    <n v="2"/>
    <x v="3"/>
    <n v="4148"/>
    <n v="11275"/>
    <n v="1"/>
    <n v="12"/>
    <n v="3"/>
    <n v="3"/>
    <n v="80"/>
    <n v="1"/>
    <n v="4"/>
    <n v="3"/>
    <n v="4"/>
    <n v="3"/>
    <n v="0"/>
    <n v="3"/>
  </r>
  <r>
    <s v="No"/>
    <s v="Non-Travel"/>
    <x v="4"/>
    <s v="Current Employees"/>
    <x v="1"/>
    <x v="0"/>
    <x v="727"/>
    <x v="727"/>
    <x v="1"/>
    <x v="1"/>
    <x v="0"/>
    <s v="No"/>
    <s v="Y"/>
    <n v="2"/>
    <n v="-2"/>
    <n v="0"/>
    <x v="41"/>
    <x v="1"/>
    <m/>
    <n v="0"/>
    <n v="1"/>
    <n v="287"/>
    <n v="5"/>
    <x v="0"/>
    <x v="0"/>
    <n v="2"/>
    <n v="73"/>
    <n v="3"/>
    <n v="1"/>
    <x v="3"/>
    <n v="1051"/>
    <n v="13493"/>
    <n v="1"/>
    <n v="15"/>
    <n v="3"/>
    <n v="4"/>
    <n v="80"/>
    <n v="0"/>
    <n v="0"/>
    <n v="3"/>
    <n v="0"/>
    <n v="0"/>
    <n v="0"/>
    <n v="0"/>
  </r>
  <r>
    <s v="No"/>
    <s v="Travel_Rarely"/>
    <x v="1"/>
    <s v="Current Employees"/>
    <x v="1"/>
    <x v="4"/>
    <x v="728"/>
    <x v="728"/>
    <x v="0"/>
    <x v="3"/>
    <x v="1"/>
    <s v="No"/>
    <s v="Y"/>
    <n v="2"/>
    <n v="-2"/>
    <n v="0"/>
    <x v="33"/>
    <x v="1"/>
    <m/>
    <n v="0"/>
    <n v="1"/>
    <n v="1441"/>
    <n v="17"/>
    <x v="3"/>
    <x v="0"/>
    <n v="4"/>
    <n v="56"/>
    <n v="3"/>
    <n v="3"/>
    <x v="0"/>
    <n v="10739"/>
    <n v="13943"/>
    <n v="8"/>
    <n v="11"/>
    <n v="3"/>
    <n v="3"/>
    <n v="80"/>
    <n v="1"/>
    <n v="22"/>
    <n v="3"/>
    <n v="10"/>
    <n v="7"/>
    <n v="0"/>
    <n v="8"/>
  </r>
  <r>
    <s v="No"/>
    <s v="Travel_Rarely"/>
    <x v="0"/>
    <s v="Current Employees"/>
    <x v="1"/>
    <x v="2"/>
    <x v="729"/>
    <x v="729"/>
    <x v="0"/>
    <x v="4"/>
    <x v="2"/>
    <s v="Yes"/>
    <s v="Y"/>
    <n v="3"/>
    <n v="-2"/>
    <n v="0"/>
    <x v="10"/>
    <x v="1"/>
    <m/>
    <n v="0"/>
    <n v="1"/>
    <n v="583"/>
    <n v="25"/>
    <x v="2"/>
    <x v="0"/>
    <n v="3"/>
    <n v="57"/>
    <n v="3"/>
    <n v="3"/>
    <x v="2"/>
    <n v="10388"/>
    <n v="6975"/>
    <n v="1"/>
    <n v="11"/>
    <n v="3"/>
    <n v="3"/>
    <n v="80"/>
    <n v="1"/>
    <n v="16"/>
    <n v="2"/>
    <n v="16"/>
    <n v="10"/>
    <n v="10"/>
    <n v="1"/>
  </r>
  <r>
    <s v="No"/>
    <s v="Travel_Rarely"/>
    <x v="2"/>
    <s v="Current Employees"/>
    <x v="1"/>
    <x v="0"/>
    <x v="730"/>
    <x v="730"/>
    <x v="0"/>
    <x v="7"/>
    <x v="1"/>
    <s v="Yes"/>
    <s v="Y"/>
    <n v="4"/>
    <n v="-2"/>
    <n v="0"/>
    <x v="7"/>
    <x v="1"/>
    <m/>
    <n v="0"/>
    <n v="1"/>
    <n v="153"/>
    <n v="8"/>
    <x v="0"/>
    <x v="0"/>
    <n v="2"/>
    <n v="73"/>
    <n v="4"/>
    <n v="3"/>
    <x v="3"/>
    <n v="11416"/>
    <n v="17802"/>
    <n v="0"/>
    <n v="12"/>
    <n v="3"/>
    <n v="3"/>
    <n v="80"/>
    <n v="3"/>
    <n v="9"/>
    <n v="2"/>
    <n v="8"/>
    <n v="7"/>
    <n v="1"/>
    <n v="7"/>
  </r>
  <r>
    <s v="Yes"/>
    <s v="Travel_Rarely"/>
    <x v="4"/>
    <s v="Ex-Employees"/>
    <x v="1"/>
    <x v="2"/>
    <x v="731"/>
    <x v="731"/>
    <x v="0"/>
    <x v="1"/>
    <x v="0"/>
    <s v="Yes"/>
    <s v="Y"/>
    <n v="2"/>
    <n v="-2"/>
    <n v="0"/>
    <x v="35"/>
    <x v="0"/>
    <n v="1"/>
    <n v="1"/>
    <n v="0"/>
    <n v="1097"/>
    <n v="11"/>
    <x v="3"/>
    <x v="0"/>
    <n v="4"/>
    <n v="98"/>
    <n v="2"/>
    <n v="1"/>
    <x v="2"/>
    <n v="2600"/>
    <n v="18275"/>
    <n v="1"/>
    <n v="15"/>
    <n v="3"/>
    <n v="1"/>
    <n v="80"/>
    <n v="0"/>
    <n v="1"/>
    <n v="3"/>
    <n v="1"/>
    <n v="0"/>
    <n v="0"/>
    <n v="0"/>
  </r>
  <r>
    <s v="Yes"/>
    <s v="Travel_Frequently"/>
    <x v="2"/>
    <s v="Ex-Employees"/>
    <x v="1"/>
    <x v="2"/>
    <x v="732"/>
    <x v="732"/>
    <x v="0"/>
    <x v="2"/>
    <x v="0"/>
    <s v="No"/>
    <s v="Y"/>
    <n v="3"/>
    <n v="-2"/>
    <n v="0"/>
    <x v="7"/>
    <x v="0"/>
    <n v="1"/>
    <n v="1"/>
    <n v="0"/>
    <n v="109"/>
    <n v="5"/>
    <x v="3"/>
    <x v="0"/>
    <n v="2"/>
    <n v="60"/>
    <n v="3"/>
    <n v="1"/>
    <x v="2"/>
    <n v="2422"/>
    <n v="25725"/>
    <n v="0"/>
    <n v="17"/>
    <n v="3"/>
    <n v="1"/>
    <n v="80"/>
    <n v="0"/>
    <n v="4"/>
    <n v="3"/>
    <n v="3"/>
    <n v="2"/>
    <n v="1"/>
    <n v="2"/>
  </r>
  <r>
    <s v="No"/>
    <s v="Travel_Rarely"/>
    <x v="2"/>
    <s v="Current Employees"/>
    <x v="1"/>
    <x v="2"/>
    <x v="733"/>
    <x v="733"/>
    <x v="1"/>
    <x v="3"/>
    <x v="1"/>
    <s v="No"/>
    <s v="Y"/>
    <n v="2"/>
    <n v="-2"/>
    <n v="0"/>
    <x v="25"/>
    <x v="1"/>
    <m/>
    <n v="0"/>
    <n v="1"/>
    <n v="1066"/>
    <n v="2"/>
    <x v="0"/>
    <x v="0"/>
    <n v="4"/>
    <n v="32"/>
    <n v="4"/>
    <n v="2"/>
    <x v="0"/>
    <n v="5472"/>
    <n v="3334"/>
    <n v="1"/>
    <n v="12"/>
    <n v="3"/>
    <n v="2"/>
    <n v="80"/>
    <n v="0"/>
    <n v="8"/>
    <n v="3"/>
    <n v="8"/>
    <n v="7"/>
    <n v="1"/>
    <n v="3"/>
  </r>
  <r>
    <s v="No"/>
    <s v="Travel_Rarely"/>
    <x v="4"/>
    <s v="Current Employees"/>
    <x v="1"/>
    <x v="0"/>
    <x v="734"/>
    <x v="734"/>
    <x v="1"/>
    <x v="2"/>
    <x v="1"/>
    <s v="No"/>
    <s v="Y"/>
    <n v="3"/>
    <n v="-2"/>
    <n v="0"/>
    <x v="15"/>
    <x v="1"/>
    <m/>
    <n v="0"/>
    <n v="1"/>
    <n v="217"/>
    <n v="8"/>
    <x v="1"/>
    <x v="0"/>
    <n v="2"/>
    <n v="94"/>
    <n v="1"/>
    <n v="1"/>
    <x v="3"/>
    <n v="2451"/>
    <n v="6881"/>
    <n v="1"/>
    <n v="15"/>
    <n v="3"/>
    <n v="1"/>
    <n v="80"/>
    <n v="1"/>
    <n v="4"/>
    <n v="2"/>
    <n v="4"/>
    <n v="3"/>
    <n v="1"/>
    <n v="1"/>
  </r>
  <r>
    <s v="No"/>
    <s v="Travel_Rarely"/>
    <x v="1"/>
    <s v="Current Employees"/>
    <x v="1"/>
    <x v="0"/>
    <x v="735"/>
    <x v="735"/>
    <x v="1"/>
    <x v="4"/>
    <x v="0"/>
    <s v="No"/>
    <s v="Y"/>
    <n v="0"/>
    <n v="-2"/>
    <n v="0"/>
    <x v="26"/>
    <x v="1"/>
    <m/>
    <n v="0"/>
    <n v="1"/>
    <n v="277"/>
    <n v="6"/>
    <x v="3"/>
    <x v="0"/>
    <n v="1"/>
    <n v="97"/>
    <n v="2"/>
    <n v="2"/>
    <x v="3"/>
    <n v="4240"/>
    <n v="13119"/>
    <n v="2"/>
    <n v="13"/>
    <n v="3"/>
    <n v="4"/>
    <n v="80"/>
    <n v="0"/>
    <n v="19"/>
    <n v="3"/>
    <n v="2"/>
    <n v="2"/>
    <n v="2"/>
    <n v="2"/>
  </r>
  <r>
    <s v="No"/>
    <s v="Travel_Rarely"/>
    <x v="1"/>
    <s v="Current Employees"/>
    <x v="1"/>
    <x v="0"/>
    <x v="736"/>
    <x v="736"/>
    <x v="1"/>
    <x v="4"/>
    <x v="0"/>
    <s v="No"/>
    <s v="Y"/>
    <n v="3"/>
    <n v="-2"/>
    <n v="0"/>
    <x v="26"/>
    <x v="1"/>
    <m/>
    <n v="0"/>
    <n v="1"/>
    <n v="1355"/>
    <n v="4"/>
    <x v="2"/>
    <x v="0"/>
    <n v="3"/>
    <n v="78"/>
    <n v="2"/>
    <n v="3"/>
    <x v="3"/>
    <n v="10999"/>
    <n v="22245"/>
    <n v="7"/>
    <n v="14"/>
    <n v="3"/>
    <n v="2"/>
    <n v="80"/>
    <n v="0"/>
    <n v="27"/>
    <n v="3"/>
    <n v="15"/>
    <n v="11"/>
    <n v="4"/>
    <n v="8"/>
  </r>
  <r>
    <s v="No"/>
    <s v="Travel_Rarely"/>
    <x v="0"/>
    <s v="Current Employees"/>
    <x v="1"/>
    <x v="2"/>
    <x v="737"/>
    <x v="737"/>
    <x v="0"/>
    <x v="3"/>
    <x v="0"/>
    <s v="No"/>
    <s v="Y"/>
    <n v="6"/>
    <n v="-2"/>
    <n v="0"/>
    <x v="0"/>
    <x v="1"/>
    <m/>
    <n v="0"/>
    <n v="1"/>
    <n v="549"/>
    <n v="7"/>
    <x v="0"/>
    <x v="0"/>
    <n v="4"/>
    <n v="42"/>
    <n v="3"/>
    <n v="2"/>
    <x v="2"/>
    <n v="5003"/>
    <n v="23371"/>
    <n v="6"/>
    <n v="14"/>
    <n v="3"/>
    <n v="2"/>
    <n v="80"/>
    <n v="0"/>
    <n v="8"/>
    <n v="3"/>
    <n v="2"/>
    <n v="2"/>
    <n v="2"/>
    <n v="1"/>
  </r>
  <r>
    <s v="No"/>
    <s v="Travel_Rarely"/>
    <x v="0"/>
    <s v="Current Employees"/>
    <x v="1"/>
    <x v="0"/>
    <x v="738"/>
    <x v="738"/>
    <x v="0"/>
    <x v="3"/>
    <x v="1"/>
    <s v="No"/>
    <s v="Y"/>
    <n v="3"/>
    <n v="-2"/>
    <n v="0"/>
    <x v="22"/>
    <x v="1"/>
    <m/>
    <n v="0"/>
    <n v="1"/>
    <n v="466"/>
    <n v="1"/>
    <x v="1"/>
    <x v="0"/>
    <n v="4"/>
    <n v="65"/>
    <n v="2"/>
    <n v="4"/>
    <x v="3"/>
    <n v="12742"/>
    <n v="7060"/>
    <n v="1"/>
    <n v="16"/>
    <n v="3"/>
    <n v="3"/>
    <n v="80"/>
    <n v="1"/>
    <n v="21"/>
    <n v="3"/>
    <n v="21"/>
    <n v="6"/>
    <n v="11"/>
    <n v="8"/>
  </r>
  <r>
    <s v="No"/>
    <s v="Travel_Rarely"/>
    <x v="2"/>
    <s v="Current Employees"/>
    <x v="1"/>
    <x v="0"/>
    <x v="739"/>
    <x v="739"/>
    <x v="0"/>
    <x v="3"/>
    <x v="1"/>
    <s v="No"/>
    <s v="Y"/>
    <n v="2"/>
    <n v="-2"/>
    <n v="0"/>
    <x v="4"/>
    <x v="1"/>
    <m/>
    <n v="0"/>
    <n v="1"/>
    <n v="1055"/>
    <n v="2"/>
    <x v="2"/>
    <x v="0"/>
    <n v="1"/>
    <n v="47"/>
    <n v="3"/>
    <n v="2"/>
    <x v="3"/>
    <n v="4227"/>
    <n v="4658"/>
    <n v="0"/>
    <n v="18"/>
    <n v="3"/>
    <n v="2"/>
    <n v="80"/>
    <n v="1"/>
    <n v="4"/>
    <n v="3"/>
    <n v="3"/>
    <n v="2"/>
    <n v="2"/>
    <n v="2"/>
  </r>
  <r>
    <s v="No"/>
    <s v="Travel_Rarely"/>
    <x v="0"/>
    <s v="Current Employees"/>
    <x v="1"/>
    <x v="1"/>
    <x v="740"/>
    <x v="740"/>
    <x v="1"/>
    <x v="2"/>
    <x v="2"/>
    <s v="No"/>
    <s v="Y"/>
    <n v="4"/>
    <n v="-2"/>
    <n v="0"/>
    <x v="10"/>
    <x v="1"/>
    <m/>
    <n v="0"/>
    <n v="1"/>
    <n v="802"/>
    <n v="10"/>
    <x v="3"/>
    <x v="0"/>
    <n v="2"/>
    <n v="45"/>
    <n v="3"/>
    <n v="1"/>
    <x v="0"/>
    <n v="3917"/>
    <n v="9541"/>
    <n v="1"/>
    <n v="20"/>
    <n v="4"/>
    <n v="1"/>
    <n v="80"/>
    <n v="1"/>
    <n v="3"/>
    <n v="2"/>
    <n v="3"/>
    <n v="2"/>
    <n v="1"/>
    <n v="2"/>
  </r>
  <r>
    <s v="No"/>
    <s v="Travel_Rarely"/>
    <x v="0"/>
    <s v="Current Employees"/>
    <x v="0"/>
    <x v="3"/>
    <x v="741"/>
    <x v="741"/>
    <x v="1"/>
    <x v="5"/>
    <x v="1"/>
    <s v="No"/>
    <s v="Y"/>
    <n v="3"/>
    <n v="-2"/>
    <n v="0"/>
    <x v="19"/>
    <x v="1"/>
    <m/>
    <n v="0"/>
    <n v="1"/>
    <n v="265"/>
    <n v="5"/>
    <x v="0"/>
    <x v="0"/>
    <n v="4"/>
    <n v="90"/>
    <n v="3"/>
    <n v="5"/>
    <x v="1"/>
    <n v="18303"/>
    <n v="7770"/>
    <n v="6"/>
    <n v="13"/>
    <n v="3"/>
    <n v="2"/>
    <n v="80"/>
    <n v="0"/>
    <n v="21"/>
    <n v="4"/>
    <n v="1"/>
    <n v="0"/>
    <n v="0"/>
    <n v="0"/>
  </r>
  <r>
    <s v="No"/>
    <s v="Travel_Rarely"/>
    <x v="1"/>
    <s v="Current Employees"/>
    <x v="1"/>
    <x v="0"/>
    <x v="742"/>
    <x v="742"/>
    <x v="1"/>
    <x v="2"/>
    <x v="1"/>
    <s v="No"/>
    <s v="Y"/>
    <n v="5"/>
    <n v="-2"/>
    <n v="0"/>
    <x v="24"/>
    <x v="1"/>
    <m/>
    <n v="0"/>
    <n v="1"/>
    <n v="804"/>
    <n v="9"/>
    <x v="3"/>
    <x v="0"/>
    <n v="1"/>
    <n v="64"/>
    <n v="3"/>
    <n v="1"/>
    <x v="3"/>
    <n v="2380"/>
    <n v="20165"/>
    <n v="4"/>
    <n v="18"/>
    <n v="3"/>
    <n v="2"/>
    <n v="80"/>
    <n v="0"/>
    <n v="8"/>
    <n v="3"/>
    <n v="1"/>
    <n v="0"/>
    <n v="0"/>
    <n v="0"/>
  </r>
  <r>
    <s v="No"/>
    <s v="Travel_Rarely"/>
    <x v="3"/>
    <s v="Current Employees"/>
    <x v="1"/>
    <x v="0"/>
    <x v="743"/>
    <x v="743"/>
    <x v="0"/>
    <x v="3"/>
    <x v="0"/>
    <s v="Yes"/>
    <s v="Y"/>
    <n v="4"/>
    <n v="-2"/>
    <n v="0"/>
    <x v="6"/>
    <x v="1"/>
    <m/>
    <n v="0"/>
    <n v="1"/>
    <n v="715"/>
    <n v="2"/>
    <x v="3"/>
    <x v="0"/>
    <n v="3"/>
    <n v="69"/>
    <n v="2"/>
    <n v="4"/>
    <x v="3"/>
    <n v="13726"/>
    <n v="21829"/>
    <n v="3"/>
    <n v="13"/>
    <n v="3"/>
    <n v="1"/>
    <n v="80"/>
    <n v="0"/>
    <n v="30"/>
    <n v="3"/>
    <n v="5"/>
    <n v="3"/>
    <n v="4"/>
    <n v="3"/>
  </r>
  <r>
    <s v="Yes"/>
    <s v="Travel_Rarely"/>
    <x v="0"/>
    <s v="Ex-Employees"/>
    <x v="1"/>
    <x v="2"/>
    <x v="744"/>
    <x v="744"/>
    <x v="0"/>
    <x v="4"/>
    <x v="1"/>
    <s v="No"/>
    <s v="Y"/>
    <n v="2"/>
    <n v="-2"/>
    <n v="0"/>
    <x v="2"/>
    <x v="0"/>
    <n v="1"/>
    <n v="1"/>
    <n v="0"/>
    <n v="1141"/>
    <n v="11"/>
    <x v="0"/>
    <x v="0"/>
    <n v="1"/>
    <n v="61"/>
    <n v="1"/>
    <n v="2"/>
    <x v="2"/>
    <n v="4777"/>
    <n v="14382"/>
    <n v="5"/>
    <n v="15"/>
    <n v="3"/>
    <n v="1"/>
    <n v="80"/>
    <n v="0"/>
    <n v="15"/>
    <n v="1"/>
    <n v="1"/>
    <n v="0"/>
    <n v="0"/>
    <n v="0"/>
  </r>
  <r>
    <s v="No"/>
    <s v="Travel_Frequently"/>
    <x v="3"/>
    <s v="Current Employees"/>
    <x v="1"/>
    <x v="2"/>
    <x v="745"/>
    <x v="745"/>
    <x v="1"/>
    <x v="4"/>
    <x v="1"/>
    <s v="Yes"/>
    <s v="Y"/>
    <n v="3"/>
    <n v="-2"/>
    <n v="0"/>
    <x v="27"/>
    <x v="1"/>
    <m/>
    <n v="0"/>
    <n v="1"/>
    <n v="135"/>
    <n v="18"/>
    <x v="2"/>
    <x v="0"/>
    <n v="3"/>
    <n v="62"/>
    <n v="3"/>
    <n v="2"/>
    <x v="2"/>
    <n v="6385"/>
    <n v="12992"/>
    <n v="3"/>
    <n v="14"/>
    <n v="3"/>
    <n v="4"/>
    <n v="80"/>
    <n v="2"/>
    <n v="17"/>
    <n v="3"/>
    <n v="8"/>
    <n v="7"/>
    <n v="6"/>
    <n v="7"/>
  </r>
  <r>
    <s v="No"/>
    <s v="Non-Travel"/>
    <x v="0"/>
    <s v="Current Employees"/>
    <x v="1"/>
    <x v="0"/>
    <x v="746"/>
    <x v="746"/>
    <x v="0"/>
    <x v="7"/>
    <x v="2"/>
    <s v="No"/>
    <s v="Y"/>
    <n v="3"/>
    <n v="-2"/>
    <n v="0"/>
    <x v="0"/>
    <x v="1"/>
    <m/>
    <n v="0"/>
    <n v="1"/>
    <n v="247"/>
    <n v="7"/>
    <x v="1"/>
    <x v="0"/>
    <n v="2"/>
    <n v="55"/>
    <n v="1"/>
    <n v="5"/>
    <x v="3"/>
    <n v="19973"/>
    <n v="20284"/>
    <n v="1"/>
    <n v="22"/>
    <n v="4"/>
    <n v="2"/>
    <n v="80"/>
    <n v="2"/>
    <n v="21"/>
    <n v="3"/>
    <n v="21"/>
    <n v="16"/>
    <n v="5"/>
    <n v="10"/>
  </r>
  <r>
    <s v="No"/>
    <s v="Travel_Rarely"/>
    <x v="0"/>
    <s v="Current Employees"/>
    <x v="0"/>
    <x v="0"/>
    <x v="747"/>
    <x v="747"/>
    <x v="1"/>
    <x v="0"/>
    <x v="0"/>
    <s v="Yes"/>
    <s v="Y"/>
    <n v="1"/>
    <n v="-2"/>
    <n v="0"/>
    <x v="8"/>
    <x v="1"/>
    <m/>
    <n v="0"/>
    <n v="1"/>
    <n v="1035"/>
    <n v="3"/>
    <x v="2"/>
    <x v="0"/>
    <n v="2"/>
    <n v="42"/>
    <n v="3"/>
    <n v="2"/>
    <x v="3"/>
    <n v="6861"/>
    <n v="4981"/>
    <n v="8"/>
    <n v="12"/>
    <n v="3"/>
    <n v="3"/>
    <n v="80"/>
    <n v="0"/>
    <n v="19"/>
    <n v="3"/>
    <n v="1"/>
    <n v="0"/>
    <n v="0"/>
    <n v="0"/>
  </r>
  <r>
    <s v="Yes"/>
    <s v="Non-Travel"/>
    <x v="2"/>
    <s v="Ex-Employees"/>
    <x v="0"/>
    <x v="2"/>
    <x v="748"/>
    <x v="748"/>
    <x v="1"/>
    <x v="0"/>
    <x v="0"/>
    <s v="No"/>
    <s v="Y"/>
    <n v="6"/>
    <n v="-2"/>
    <n v="0"/>
    <x v="25"/>
    <x v="0"/>
    <n v="1"/>
    <n v="1"/>
    <n v="0"/>
    <n v="265"/>
    <n v="29"/>
    <x v="0"/>
    <x v="0"/>
    <n v="2"/>
    <n v="79"/>
    <n v="1"/>
    <n v="2"/>
    <x v="2"/>
    <n v="4969"/>
    <n v="21813"/>
    <n v="8"/>
    <n v="18"/>
    <n v="3"/>
    <n v="4"/>
    <n v="80"/>
    <n v="0"/>
    <n v="7"/>
    <n v="3"/>
    <n v="2"/>
    <n v="2"/>
    <n v="2"/>
    <n v="2"/>
  </r>
  <r>
    <s v="Yes"/>
    <s v="Travel_Rarely"/>
    <x v="1"/>
    <s v="Ex-Employees"/>
    <x v="0"/>
    <x v="3"/>
    <x v="749"/>
    <x v="749"/>
    <x v="0"/>
    <x v="5"/>
    <x v="1"/>
    <s v="No"/>
    <s v="Y"/>
    <n v="3"/>
    <n v="-2"/>
    <n v="0"/>
    <x v="39"/>
    <x v="0"/>
    <n v="1"/>
    <n v="1"/>
    <n v="0"/>
    <n v="266"/>
    <n v="2"/>
    <x v="1"/>
    <x v="0"/>
    <n v="1"/>
    <n v="57"/>
    <n v="1"/>
    <n v="5"/>
    <x v="1"/>
    <n v="19845"/>
    <n v="25846"/>
    <n v="1"/>
    <n v="15"/>
    <n v="3"/>
    <n v="4"/>
    <n v="80"/>
    <n v="1"/>
    <n v="33"/>
    <n v="3"/>
    <n v="32"/>
    <n v="14"/>
    <n v="6"/>
    <n v="9"/>
  </r>
  <r>
    <s v="No"/>
    <s v="Travel_Rarely"/>
    <x v="0"/>
    <s v="Current Employees"/>
    <x v="0"/>
    <x v="2"/>
    <x v="750"/>
    <x v="750"/>
    <x v="0"/>
    <x v="0"/>
    <x v="1"/>
    <s v="Yes"/>
    <s v="Y"/>
    <n v="2"/>
    <n v="-2"/>
    <n v="0"/>
    <x v="20"/>
    <x v="1"/>
    <m/>
    <n v="0"/>
    <n v="1"/>
    <n v="1448"/>
    <n v="28"/>
    <x v="3"/>
    <x v="0"/>
    <n v="4"/>
    <n v="53"/>
    <n v="4"/>
    <n v="4"/>
    <x v="0"/>
    <n v="13320"/>
    <n v="11737"/>
    <n v="3"/>
    <n v="18"/>
    <n v="3"/>
    <n v="3"/>
    <n v="80"/>
    <n v="1"/>
    <n v="23"/>
    <n v="3"/>
    <n v="12"/>
    <n v="11"/>
    <n v="11"/>
    <n v="11"/>
  </r>
  <r>
    <s v="No"/>
    <s v="Non-Travel"/>
    <x v="1"/>
    <s v="Current Employees"/>
    <x v="0"/>
    <x v="0"/>
    <x v="751"/>
    <x v="751"/>
    <x v="0"/>
    <x v="0"/>
    <x v="1"/>
    <s v="No"/>
    <s v="Y"/>
    <n v="3"/>
    <n v="-2"/>
    <n v="0"/>
    <x v="24"/>
    <x v="1"/>
    <m/>
    <n v="0"/>
    <n v="1"/>
    <n v="145"/>
    <n v="1"/>
    <x v="3"/>
    <x v="0"/>
    <n v="4"/>
    <n v="95"/>
    <n v="3"/>
    <n v="2"/>
    <x v="3"/>
    <n v="6347"/>
    <n v="24920"/>
    <n v="0"/>
    <n v="12"/>
    <n v="3"/>
    <n v="1"/>
    <n v="80"/>
    <n v="1"/>
    <n v="19"/>
    <n v="3"/>
    <n v="18"/>
    <n v="7"/>
    <n v="0"/>
    <n v="13"/>
  </r>
  <r>
    <s v="Yes"/>
    <s v="Travel_Rarely"/>
    <x v="0"/>
    <s v="Ex-Employees"/>
    <x v="1"/>
    <x v="0"/>
    <x v="752"/>
    <x v="752"/>
    <x v="0"/>
    <x v="2"/>
    <x v="0"/>
    <s v="No"/>
    <s v="Y"/>
    <n v="1"/>
    <n v="-2"/>
    <n v="0"/>
    <x v="9"/>
    <x v="0"/>
    <n v="1"/>
    <n v="1"/>
    <n v="0"/>
    <n v="885"/>
    <n v="16"/>
    <x v="2"/>
    <x v="0"/>
    <n v="3"/>
    <n v="43"/>
    <n v="4"/>
    <n v="1"/>
    <x v="3"/>
    <n v="2743"/>
    <n v="8269"/>
    <n v="1"/>
    <n v="16"/>
    <n v="3"/>
    <n v="3"/>
    <n v="80"/>
    <n v="0"/>
    <n v="18"/>
    <n v="3"/>
    <n v="17"/>
    <n v="13"/>
    <n v="15"/>
    <n v="14"/>
  </r>
  <r>
    <s v="No"/>
    <s v="Travel_Frequently"/>
    <x v="0"/>
    <s v="Current Employees"/>
    <x v="1"/>
    <x v="2"/>
    <x v="753"/>
    <x v="753"/>
    <x v="0"/>
    <x v="3"/>
    <x v="0"/>
    <s v="Yes"/>
    <s v="Y"/>
    <n v="2"/>
    <n v="-2"/>
    <n v="0"/>
    <x v="22"/>
    <x v="1"/>
    <m/>
    <n v="0"/>
    <n v="1"/>
    <n v="945"/>
    <n v="22"/>
    <x v="3"/>
    <x v="0"/>
    <n v="4"/>
    <n v="82"/>
    <n v="3"/>
    <n v="3"/>
    <x v="2"/>
    <n v="10880"/>
    <n v="5083"/>
    <n v="1"/>
    <n v="13"/>
    <n v="3"/>
    <n v="3"/>
    <n v="80"/>
    <n v="0"/>
    <n v="21"/>
    <n v="3"/>
    <n v="21"/>
    <n v="6"/>
    <n v="2"/>
    <n v="8"/>
  </r>
  <r>
    <s v="No"/>
    <s v="Non-Travel"/>
    <x v="2"/>
    <s v="Current Employees"/>
    <x v="0"/>
    <x v="0"/>
    <x v="754"/>
    <x v="754"/>
    <x v="0"/>
    <x v="6"/>
    <x v="0"/>
    <s v="No"/>
    <s v="Y"/>
    <n v="2"/>
    <n v="-2"/>
    <n v="0"/>
    <x v="3"/>
    <x v="1"/>
    <m/>
    <n v="0"/>
    <n v="1"/>
    <n v="1038"/>
    <n v="8"/>
    <x v="1"/>
    <x v="0"/>
    <n v="2"/>
    <n v="88"/>
    <n v="2"/>
    <n v="1"/>
    <x v="3"/>
    <n v="2342"/>
    <n v="21437"/>
    <n v="0"/>
    <n v="19"/>
    <n v="3"/>
    <n v="4"/>
    <n v="80"/>
    <n v="0"/>
    <n v="3"/>
    <n v="2"/>
    <n v="2"/>
    <n v="2"/>
    <n v="2"/>
    <n v="2"/>
  </r>
  <r>
    <s v="No"/>
    <s v="Travel_Rarely"/>
    <x v="1"/>
    <s v="Current Employees"/>
    <x v="0"/>
    <x v="0"/>
    <x v="755"/>
    <x v="755"/>
    <x v="0"/>
    <x v="5"/>
    <x v="1"/>
    <s v="No"/>
    <s v="Y"/>
    <n v="4"/>
    <n v="-2"/>
    <n v="0"/>
    <x v="28"/>
    <x v="1"/>
    <m/>
    <n v="0"/>
    <n v="1"/>
    <n v="1234"/>
    <n v="11"/>
    <x v="0"/>
    <x v="0"/>
    <n v="4"/>
    <n v="90"/>
    <n v="3"/>
    <n v="4"/>
    <x v="3"/>
    <n v="17650"/>
    <n v="5404"/>
    <n v="3"/>
    <n v="13"/>
    <n v="3"/>
    <n v="2"/>
    <n v="80"/>
    <n v="1"/>
    <n v="26"/>
    <n v="4"/>
    <n v="9"/>
    <n v="3"/>
    <n v="1"/>
    <n v="1"/>
  </r>
  <r>
    <s v="No"/>
    <s v="Non-Travel"/>
    <x v="2"/>
    <s v="Current Employees"/>
    <x v="1"/>
    <x v="2"/>
    <x v="756"/>
    <x v="756"/>
    <x v="0"/>
    <x v="2"/>
    <x v="0"/>
    <s v="No"/>
    <s v="Y"/>
    <n v="2"/>
    <n v="-2"/>
    <n v="0"/>
    <x v="5"/>
    <x v="1"/>
    <m/>
    <n v="0"/>
    <n v="1"/>
    <n v="1109"/>
    <n v="29"/>
    <x v="2"/>
    <x v="0"/>
    <n v="4"/>
    <n v="69"/>
    <n v="3"/>
    <n v="1"/>
    <x v="2"/>
    <n v="4025"/>
    <n v="11135"/>
    <n v="9"/>
    <n v="12"/>
    <n v="3"/>
    <n v="2"/>
    <n v="80"/>
    <n v="0"/>
    <n v="10"/>
    <n v="3"/>
    <n v="8"/>
    <n v="7"/>
    <n v="7"/>
    <n v="7"/>
  </r>
  <r>
    <s v="No"/>
    <s v="Travel_Rarely"/>
    <x v="2"/>
    <s v="Current Employees"/>
    <x v="0"/>
    <x v="3"/>
    <x v="757"/>
    <x v="757"/>
    <x v="1"/>
    <x v="0"/>
    <x v="2"/>
    <s v="No"/>
    <s v="Y"/>
    <n v="2"/>
    <n v="-2"/>
    <n v="0"/>
    <x v="13"/>
    <x v="1"/>
    <m/>
    <n v="0"/>
    <n v="1"/>
    <n v="216"/>
    <n v="1"/>
    <x v="2"/>
    <x v="0"/>
    <n v="2"/>
    <n v="75"/>
    <n v="4"/>
    <n v="2"/>
    <x v="1"/>
    <n v="9725"/>
    <n v="12278"/>
    <n v="0"/>
    <n v="11"/>
    <n v="3"/>
    <n v="4"/>
    <n v="80"/>
    <n v="1"/>
    <n v="16"/>
    <n v="2"/>
    <n v="15"/>
    <n v="1"/>
    <n v="0"/>
    <n v="9"/>
  </r>
  <r>
    <s v="No"/>
    <s v="Travel_Rarely"/>
    <x v="3"/>
    <s v="Current Employees"/>
    <x v="0"/>
    <x v="4"/>
    <x v="758"/>
    <x v="758"/>
    <x v="1"/>
    <x v="5"/>
    <x v="1"/>
    <s v="Yes"/>
    <s v="Y"/>
    <n v="1"/>
    <n v="-2"/>
    <n v="0"/>
    <x v="6"/>
    <x v="1"/>
    <m/>
    <n v="0"/>
    <n v="1"/>
    <n v="1089"/>
    <n v="1"/>
    <x v="0"/>
    <x v="0"/>
    <n v="4"/>
    <n v="66"/>
    <n v="3"/>
    <n v="3"/>
    <x v="0"/>
    <n v="11904"/>
    <n v="11038"/>
    <n v="3"/>
    <n v="14"/>
    <n v="3"/>
    <n v="3"/>
    <n v="80"/>
    <n v="1"/>
    <n v="14"/>
    <n v="1"/>
    <n v="6"/>
    <n v="4"/>
    <n v="0"/>
    <n v="4"/>
  </r>
  <r>
    <s v="No"/>
    <s v="Travel_Rarely"/>
    <x v="1"/>
    <s v="Current Employees"/>
    <x v="2"/>
    <x v="2"/>
    <x v="759"/>
    <x v="759"/>
    <x v="1"/>
    <x v="8"/>
    <x v="0"/>
    <s v="No"/>
    <s v="Y"/>
    <n v="3"/>
    <n v="-2"/>
    <n v="0"/>
    <x v="28"/>
    <x v="1"/>
    <m/>
    <n v="0"/>
    <n v="1"/>
    <n v="788"/>
    <n v="24"/>
    <x v="2"/>
    <x v="0"/>
    <n v="2"/>
    <n v="36"/>
    <n v="3"/>
    <n v="1"/>
    <x v="2"/>
    <n v="2177"/>
    <n v="8318"/>
    <n v="1"/>
    <n v="16"/>
    <n v="3"/>
    <n v="1"/>
    <n v="80"/>
    <n v="0"/>
    <n v="6"/>
    <n v="3"/>
    <n v="6"/>
    <n v="3"/>
    <n v="0"/>
    <n v="4"/>
  </r>
  <r>
    <s v="No"/>
    <s v="Travel_Frequently"/>
    <x v="1"/>
    <s v="Current Employees"/>
    <x v="0"/>
    <x v="3"/>
    <x v="760"/>
    <x v="760"/>
    <x v="0"/>
    <x v="0"/>
    <x v="1"/>
    <s v="No"/>
    <s v="Y"/>
    <n v="2"/>
    <n v="-2"/>
    <n v="0"/>
    <x v="16"/>
    <x v="1"/>
    <m/>
    <n v="0"/>
    <n v="1"/>
    <n v="124"/>
    <n v="2"/>
    <x v="3"/>
    <x v="0"/>
    <n v="3"/>
    <n v="38"/>
    <n v="2"/>
    <n v="3"/>
    <x v="1"/>
    <n v="7525"/>
    <n v="23537"/>
    <n v="2"/>
    <n v="12"/>
    <n v="3"/>
    <n v="1"/>
    <n v="80"/>
    <n v="1"/>
    <n v="30"/>
    <n v="3"/>
    <n v="15"/>
    <n v="7"/>
    <n v="6"/>
    <n v="12"/>
  </r>
  <r>
    <s v="Yes"/>
    <s v="Travel_Rarely"/>
    <x v="0"/>
    <s v="Ex-Employees"/>
    <x v="1"/>
    <x v="1"/>
    <x v="761"/>
    <x v="761"/>
    <x v="1"/>
    <x v="2"/>
    <x v="2"/>
    <s v="No"/>
    <s v="Y"/>
    <n v="3"/>
    <n v="-2"/>
    <n v="0"/>
    <x v="9"/>
    <x v="0"/>
    <n v="1"/>
    <n v="1"/>
    <n v="0"/>
    <n v="660"/>
    <n v="15"/>
    <x v="3"/>
    <x v="0"/>
    <n v="1"/>
    <n v="81"/>
    <n v="3"/>
    <n v="2"/>
    <x v="2"/>
    <n v="4834"/>
    <n v="7858"/>
    <n v="7"/>
    <n v="14"/>
    <n v="3"/>
    <n v="2"/>
    <n v="80"/>
    <n v="1"/>
    <n v="9"/>
    <n v="2"/>
    <n v="1"/>
    <n v="0"/>
    <n v="0"/>
    <n v="0"/>
  </r>
  <r>
    <s v="Yes"/>
    <s v="Travel_Frequently"/>
    <x v="2"/>
    <s v="Ex-Employees"/>
    <x v="1"/>
    <x v="0"/>
    <x v="762"/>
    <x v="762"/>
    <x v="1"/>
    <x v="1"/>
    <x v="1"/>
    <s v="Yes"/>
    <s v="Y"/>
    <n v="2"/>
    <n v="-2"/>
    <n v="0"/>
    <x v="25"/>
    <x v="0"/>
    <n v="1"/>
    <n v="1"/>
    <n v="0"/>
    <n v="342"/>
    <n v="2"/>
    <x v="3"/>
    <x v="0"/>
    <n v="1"/>
    <n v="57"/>
    <n v="3"/>
    <n v="1"/>
    <x v="3"/>
    <n v="2042"/>
    <n v="15346"/>
    <n v="6"/>
    <n v="14"/>
    <n v="3"/>
    <n v="2"/>
    <n v="80"/>
    <n v="1"/>
    <n v="6"/>
    <n v="3"/>
    <n v="3"/>
    <n v="2"/>
    <n v="1"/>
    <n v="2"/>
  </r>
  <r>
    <s v="No"/>
    <s v="Travel_Rarely"/>
    <x v="2"/>
    <s v="Current Employees"/>
    <x v="0"/>
    <x v="0"/>
    <x v="763"/>
    <x v="763"/>
    <x v="0"/>
    <x v="6"/>
    <x v="1"/>
    <s v="Yes"/>
    <s v="Y"/>
    <n v="2"/>
    <n v="-2"/>
    <n v="0"/>
    <x v="13"/>
    <x v="1"/>
    <m/>
    <n v="0"/>
    <n v="1"/>
    <n v="1333"/>
    <n v="10"/>
    <x v="2"/>
    <x v="0"/>
    <n v="3"/>
    <n v="87"/>
    <n v="3"/>
    <n v="1"/>
    <x v="3"/>
    <n v="2220"/>
    <n v="18410"/>
    <n v="1"/>
    <n v="19"/>
    <n v="3"/>
    <n v="4"/>
    <n v="80"/>
    <n v="1"/>
    <n v="1"/>
    <n v="3"/>
    <n v="1"/>
    <n v="1"/>
    <n v="0"/>
    <n v="0"/>
  </r>
  <r>
    <s v="No"/>
    <s v="Travel_Rarely"/>
    <x v="2"/>
    <s v="Current Employees"/>
    <x v="0"/>
    <x v="2"/>
    <x v="764"/>
    <x v="764"/>
    <x v="1"/>
    <x v="6"/>
    <x v="1"/>
    <s v="No"/>
    <s v="Y"/>
    <n v="5"/>
    <n v="-2"/>
    <n v="0"/>
    <x v="14"/>
    <x v="1"/>
    <m/>
    <n v="0"/>
    <n v="1"/>
    <n v="1144"/>
    <n v="10"/>
    <x v="1"/>
    <x v="0"/>
    <n v="4"/>
    <n v="74"/>
    <n v="3"/>
    <n v="1"/>
    <x v="2"/>
    <n v="1052"/>
    <n v="23384"/>
    <n v="1"/>
    <n v="22"/>
    <n v="4"/>
    <n v="2"/>
    <n v="80"/>
    <n v="0"/>
    <n v="1"/>
    <n v="3"/>
    <n v="1"/>
    <n v="0"/>
    <n v="0"/>
    <n v="0"/>
  </r>
  <r>
    <s v="No"/>
    <s v="Travel_Frequently"/>
    <x v="0"/>
    <s v="Current Employees"/>
    <x v="1"/>
    <x v="1"/>
    <x v="765"/>
    <x v="765"/>
    <x v="1"/>
    <x v="1"/>
    <x v="1"/>
    <s v="No"/>
    <s v="Y"/>
    <n v="2"/>
    <n v="-2"/>
    <n v="0"/>
    <x v="8"/>
    <x v="1"/>
    <m/>
    <n v="0"/>
    <n v="1"/>
    <n v="1186"/>
    <n v="3"/>
    <x v="2"/>
    <x v="0"/>
    <n v="3"/>
    <n v="44"/>
    <n v="3"/>
    <n v="1"/>
    <x v="2"/>
    <n v="2821"/>
    <n v="2997"/>
    <n v="3"/>
    <n v="16"/>
    <n v="3"/>
    <n v="1"/>
    <n v="80"/>
    <n v="1"/>
    <n v="8"/>
    <n v="3"/>
    <n v="2"/>
    <n v="2"/>
    <n v="2"/>
    <n v="2"/>
  </r>
  <r>
    <s v="No"/>
    <s v="Travel_Rarely"/>
    <x v="1"/>
    <s v="Current Employees"/>
    <x v="1"/>
    <x v="2"/>
    <x v="766"/>
    <x v="766"/>
    <x v="1"/>
    <x v="7"/>
    <x v="1"/>
    <s v="Yes"/>
    <s v="Y"/>
    <n v="2"/>
    <n v="-2"/>
    <n v="0"/>
    <x v="24"/>
    <x v="1"/>
    <m/>
    <n v="0"/>
    <n v="1"/>
    <n v="1464"/>
    <n v="2"/>
    <x v="2"/>
    <x v="0"/>
    <n v="2"/>
    <n v="62"/>
    <n v="3"/>
    <n v="5"/>
    <x v="2"/>
    <n v="19237"/>
    <n v="12853"/>
    <n v="2"/>
    <n v="11"/>
    <n v="3"/>
    <n v="4"/>
    <n v="80"/>
    <n v="1"/>
    <n v="29"/>
    <n v="2"/>
    <n v="8"/>
    <n v="1"/>
    <n v="7"/>
    <n v="7"/>
  </r>
  <r>
    <s v="No"/>
    <s v="Travel_Rarely"/>
    <x v="0"/>
    <s v="Current Employees"/>
    <x v="1"/>
    <x v="1"/>
    <x v="767"/>
    <x v="767"/>
    <x v="0"/>
    <x v="4"/>
    <x v="0"/>
    <s v="No"/>
    <s v="Y"/>
    <n v="3"/>
    <n v="-2"/>
    <n v="0"/>
    <x v="2"/>
    <x v="1"/>
    <m/>
    <n v="0"/>
    <n v="1"/>
    <n v="124"/>
    <n v="3"/>
    <x v="3"/>
    <x v="0"/>
    <n v="4"/>
    <n v="35"/>
    <n v="3"/>
    <n v="2"/>
    <x v="2"/>
    <n v="4107"/>
    <n v="13848"/>
    <n v="3"/>
    <n v="15"/>
    <n v="3"/>
    <n v="1"/>
    <n v="80"/>
    <n v="0"/>
    <n v="8"/>
    <n v="2"/>
    <n v="4"/>
    <n v="3"/>
    <n v="0"/>
    <n v="1"/>
  </r>
  <r>
    <s v="No"/>
    <s v="Travel_Rarely"/>
    <x v="0"/>
    <s v="Current Employees"/>
    <x v="0"/>
    <x v="3"/>
    <x v="768"/>
    <x v="768"/>
    <x v="1"/>
    <x v="0"/>
    <x v="1"/>
    <s v="No"/>
    <s v="Y"/>
    <n v="3"/>
    <n v="-2"/>
    <n v="0"/>
    <x v="32"/>
    <x v="1"/>
    <m/>
    <n v="0"/>
    <n v="1"/>
    <n v="300"/>
    <n v="26"/>
    <x v="3"/>
    <x v="0"/>
    <n v="3"/>
    <n v="74"/>
    <n v="3"/>
    <n v="2"/>
    <x v="1"/>
    <n v="8396"/>
    <n v="22217"/>
    <n v="1"/>
    <n v="14"/>
    <n v="3"/>
    <n v="2"/>
    <n v="80"/>
    <n v="1"/>
    <n v="8"/>
    <n v="2"/>
    <n v="7"/>
    <n v="7"/>
    <n v="7"/>
    <n v="5"/>
  </r>
  <r>
    <s v="No"/>
    <s v="Travel_Frequently"/>
    <x v="2"/>
    <s v="Current Employees"/>
    <x v="1"/>
    <x v="2"/>
    <x v="769"/>
    <x v="769"/>
    <x v="0"/>
    <x v="1"/>
    <x v="2"/>
    <s v="No"/>
    <s v="Y"/>
    <n v="5"/>
    <n v="-2"/>
    <n v="0"/>
    <x v="25"/>
    <x v="1"/>
    <m/>
    <n v="0"/>
    <n v="1"/>
    <n v="921"/>
    <n v="1"/>
    <x v="1"/>
    <x v="0"/>
    <n v="1"/>
    <n v="66"/>
    <n v="2"/>
    <n v="1"/>
    <x v="2"/>
    <n v="2007"/>
    <n v="25265"/>
    <n v="1"/>
    <n v="13"/>
    <n v="3"/>
    <n v="3"/>
    <n v="80"/>
    <n v="2"/>
    <n v="5"/>
    <n v="3"/>
    <n v="5"/>
    <n v="3"/>
    <n v="1"/>
    <n v="3"/>
  </r>
  <r>
    <s v="No"/>
    <s v="Travel_Rarely"/>
    <x v="1"/>
    <s v="Current Employees"/>
    <x v="1"/>
    <x v="2"/>
    <x v="770"/>
    <x v="770"/>
    <x v="1"/>
    <x v="7"/>
    <x v="2"/>
    <s v="No"/>
    <s v="Y"/>
    <n v="0"/>
    <n v="-2"/>
    <n v="0"/>
    <x v="21"/>
    <x v="1"/>
    <m/>
    <n v="0"/>
    <n v="1"/>
    <n v="430"/>
    <n v="1"/>
    <x v="2"/>
    <x v="0"/>
    <n v="4"/>
    <n v="40"/>
    <n v="3"/>
    <n v="5"/>
    <x v="0"/>
    <n v="19627"/>
    <n v="21445"/>
    <n v="9"/>
    <n v="17"/>
    <n v="3"/>
    <n v="4"/>
    <n v="80"/>
    <n v="2"/>
    <n v="23"/>
    <n v="3"/>
    <n v="2"/>
    <n v="2"/>
    <n v="2"/>
    <n v="2"/>
  </r>
  <r>
    <s v="No"/>
    <s v="Travel_Rarely"/>
    <x v="1"/>
    <s v="Current Employees"/>
    <x v="0"/>
    <x v="0"/>
    <x v="771"/>
    <x v="771"/>
    <x v="0"/>
    <x v="0"/>
    <x v="1"/>
    <s v="No"/>
    <s v="Y"/>
    <n v="4"/>
    <n v="-2"/>
    <n v="0"/>
    <x v="33"/>
    <x v="1"/>
    <m/>
    <n v="0"/>
    <n v="1"/>
    <n v="1082"/>
    <n v="2"/>
    <x v="2"/>
    <x v="0"/>
    <n v="3"/>
    <n v="41"/>
    <n v="2"/>
    <n v="3"/>
    <x v="3"/>
    <n v="10686"/>
    <n v="8392"/>
    <n v="6"/>
    <n v="11"/>
    <n v="3"/>
    <n v="2"/>
    <n v="80"/>
    <n v="1"/>
    <n v="13"/>
    <n v="3"/>
    <n v="9"/>
    <n v="4"/>
    <n v="7"/>
    <n v="0"/>
  </r>
  <r>
    <s v="No"/>
    <s v="Travel_Frequently"/>
    <x v="3"/>
    <s v="Current Employees"/>
    <x v="1"/>
    <x v="2"/>
    <x v="772"/>
    <x v="772"/>
    <x v="0"/>
    <x v="1"/>
    <x v="1"/>
    <s v="No"/>
    <s v="Y"/>
    <n v="4"/>
    <n v="-2"/>
    <n v="0"/>
    <x v="29"/>
    <x v="1"/>
    <m/>
    <n v="0"/>
    <n v="1"/>
    <n v="1240"/>
    <n v="9"/>
    <x v="3"/>
    <x v="0"/>
    <n v="1"/>
    <n v="63"/>
    <n v="3"/>
    <n v="1"/>
    <x v="2"/>
    <n v="2942"/>
    <n v="12154"/>
    <n v="2"/>
    <n v="19"/>
    <n v="3"/>
    <n v="2"/>
    <n v="80"/>
    <n v="1"/>
    <n v="18"/>
    <n v="3"/>
    <n v="5"/>
    <n v="4"/>
    <n v="0"/>
    <n v="3"/>
  </r>
  <r>
    <s v="No"/>
    <s v="Travel_Rarely"/>
    <x v="0"/>
    <s v="Current Employees"/>
    <x v="1"/>
    <x v="2"/>
    <x v="773"/>
    <x v="773"/>
    <x v="0"/>
    <x v="3"/>
    <x v="0"/>
    <s v="No"/>
    <s v="Y"/>
    <n v="2"/>
    <n v="-2"/>
    <n v="0"/>
    <x v="9"/>
    <x v="1"/>
    <m/>
    <n v="0"/>
    <n v="1"/>
    <n v="796"/>
    <n v="12"/>
    <x v="4"/>
    <x v="0"/>
    <n v="4"/>
    <n v="51"/>
    <n v="2"/>
    <n v="3"/>
    <x v="0"/>
    <n v="8858"/>
    <n v="15669"/>
    <n v="0"/>
    <n v="11"/>
    <n v="3"/>
    <n v="2"/>
    <n v="80"/>
    <n v="0"/>
    <n v="15"/>
    <n v="2"/>
    <n v="14"/>
    <n v="8"/>
    <n v="7"/>
    <n v="8"/>
  </r>
  <r>
    <s v="No"/>
    <s v="Non-Travel"/>
    <x v="3"/>
    <s v="Current Employees"/>
    <x v="1"/>
    <x v="2"/>
    <x v="774"/>
    <x v="774"/>
    <x v="1"/>
    <x v="5"/>
    <x v="0"/>
    <s v="No"/>
    <s v="Y"/>
    <n v="3"/>
    <n v="-2"/>
    <n v="0"/>
    <x v="27"/>
    <x v="1"/>
    <m/>
    <n v="0"/>
    <n v="1"/>
    <n v="444"/>
    <n v="2"/>
    <x v="1"/>
    <x v="0"/>
    <n v="3"/>
    <n v="40"/>
    <n v="2"/>
    <n v="4"/>
    <x v="2"/>
    <n v="16756"/>
    <n v="17323"/>
    <n v="7"/>
    <n v="15"/>
    <n v="3"/>
    <n v="2"/>
    <n v="80"/>
    <n v="0"/>
    <n v="31"/>
    <n v="4"/>
    <n v="9"/>
    <n v="7"/>
    <n v="6"/>
    <n v="2"/>
  </r>
  <r>
    <s v="No"/>
    <s v="Travel_Rarely"/>
    <x v="0"/>
    <s v="Current Employees"/>
    <x v="0"/>
    <x v="2"/>
    <x v="775"/>
    <x v="775"/>
    <x v="1"/>
    <x v="0"/>
    <x v="2"/>
    <s v="No"/>
    <s v="Y"/>
    <n v="5"/>
    <n v="-2"/>
    <n v="0"/>
    <x v="23"/>
    <x v="1"/>
    <m/>
    <n v="0"/>
    <n v="1"/>
    <n v="415"/>
    <n v="25"/>
    <x v="3"/>
    <x v="0"/>
    <n v="3"/>
    <n v="79"/>
    <n v="2"/>
    <n v="3"/>
    <x v="0"/>
    <n v="10798"/>
    <n v="5268"/>
    <n v="5"/>
    <n v="13"/>
    <n v="3"/>
    <n v="3"/>
    <n v="80"/>
    <n v="1"/>
    <n v="18"/>
    <n v="3"/>
    <n v="1"/>
    <n v="0"/>
    <n v="0"/>
    <n v="0"/>
  </r>
  <r>
    <s v="Yes"/>
    <s v="Travel_Frequently"/>
    <x v="4"/>
    <s v="Ex-Employees"/>
    <x v="0"/>
    <x v="3"/>
    <x v="776"/>
    <x v="776"/>
    <x v="0"/>
    <x v="6"/>
    <x v="0"/>
    <s v="Yes"/>
    <s v="Y"/>
    <n v="3"/>
    <n v="-2"/>
    <n v="0"/>
    <x v="35"/>
    <x v="0"/>
    <n v="1"/>
    <n v="1"/>
    <n v="0"/>
    <n v="769"/>
    <n v="9"/>
    <x v="3"/>
    <x v="0"/>
    <n v="4"/>
    <n v="54"/>
    <n v="3"/>
    <n v="1"/>
    <x v="1"/>
    <n v="2323"/>
    <n v="17205"/>
    <n v="1"/>
    <n v="14"/>
    <n v="3"/>
    <n v="2"/>
    <n v="80"/>
    <n v="0"/>
    <n v="2"/>
    <n v="3"/>
    <n v="2"/>
    <n v="2"/>
    <n v="0"/>
    <n v="2"/>
  </r>
  <r>
    <s v="Yes"/>
    <s v="Travel_Rarely"/>
    <x v="4"/>
    <s v="Ex-Employees"/>
    <x v="1"/>
    <x v="0"/>
    <x v="777"/>
    <x v="777"/>
    <x v="0"/>
    <x v="2"/>
    <x v="0"/>
    <s v="No"/>
    <s v="Y"/>
    <n v="6"/>
    <n v="-2"/>
    <n v="0"/>
    <x v="18"/>
    <x v="0"/>
    <n v="1"/>
    <n v="1"/>
    <n v="0"/>
    <n v="1334"/>
    <n v="10"/>
    <x v="3"/>
    <x v="0"/>
    <n v="3"/>
    <n v="36"/>
    <n v="2"/>
    <n v="1"/>
    <x v="3"/>
    <n v="1416"/>
    <n v="17258"/>
    <n v="1"/>
    <n v="13"/>
    <n v="3"/>
    <n v="1"/>
    <n v="80"/>
    <n v="0"/>
    <n v="1"/>
    <n v="2"/>
    <n v="1"/>
    <n v="0"/>
    <n v="1"/>
    <n v="0"/>
  </r>
  <r>
    <s v="No"/>
    <s v="Travel_Rarely"/>
    <x v="1"/>
    <s v="Current Employees"/>
    <x v="1"/>
    <x v="0"/>
    <x v="778"/>
    <x v="778"/>
    <x v="0"/>
    <x v="1"/>
    <x v="2"/>
    <s v="Yes"/>
    <s v="Y"/>
    <n v="2"/>
    <n v="-2"/>
    <n v="0"/>
    <x v="21"/>
    <x v="1"/>
    <m/>
    <n v="0"/>
    <n v="1"/>
    <n v="1003"/>
    <n v="8"/>
    <x v="2"/>
    <x v="0"/>
    <n v="4"/>
    <n v="74"/>
    <n v="2"/>
    <n v="2"/>
    <x v="3"/>
    <n v="4615"/>
    <n v="21029"/>
    <n v="8"/>
    <n v="23"/>
    <n v="4"/>
    <n v="1"/>
    <n v="80"/>
    <n v="3"/>
    <n v="19"/>
    <n v="3"/>
    <n v="16"/>
    <n v="13"/>
    <n v="1"/>
    <n v="7"/>
  </r>
  <r>
    <s v="Yes"/>
    <s v="Travel_Rarely"/>
    <x v="1"/>
    <s v="Ex-Employees"/>
    <x v="1"/>
    <x v="0"/>
    <x v="779"/>
    <x v="779"/>
    <x v="1"/>
    <x v="1"/>
    <x v="1"/>
    <s v="Yes"/>
    <s v="Y"/>
    <n v="2"/>
    <n v="-2"/>
    <n v="0"/>
    <x v="31"/>
    <x v="0"/>
    <n v="1"/>
    <n v="1"/>
    <n v="0"/>
    <n v="1323"/>
    <n v="4"/>
    <x v="2"/>
    <x v="0"/>
    <n v="1"/>
    <n v="34"/>
    <n v="3"/>
    <n v="1"/>
    <x v="3"/>
    <n v="2461"/>
    <n v="10332"/>
    <n v="9"/>
    <n v="12"/>
    <n v="3"/>
    <n v="3"/>
    <n v="80"/>
    <n v="3"/>
    <n v="18"/>
    <n v="4"/>
    <n v="10"/>
    <n v="0"/>
    <n v="2"/>
    <n v="7"/>
  </r>
  <r>
    <s v="Yes"/>
    <s v="Non-Travel"/>
    <x v="2"/>
    <s v="Ex-Employees"/>
    <x v="1"/>
    <x v="4"/>
    <x v="780"/>
    <x v="780"/>
    <x v="1"/>
    <x v="4"/>
    <x v="0"/>
    <s v="No"/>
    <s v="Y"/>
    <n v="2"/>
    <n v="-2"/>
    <n v="0"/>
    <x v="14"/>
    <x v="0"/>
    <n v="1"/>
    <n v="1"/>
    <n v="0"/>
    <n v="1366"/>
    <n v="24"/>
    <x v="0"/>
    <x v="0"/>
    <n v="4"/>
    <n v="72"/>
    <n v="2"/>
    <n v="3"/>
    <x v="0"/>
    <n v="8722"/>
    <n v="12355"/>
    <n v="1"/>
    <n v="12"/>
    <n v="3"/>
    <n v="1"/>
    <n v="80"/>
    <n v="0"/>
    <n v="10"/>
    <n v="2"/>
    <n v="10"/>
    <n v="7"/>
    <n v="1"/>
    <n v="9"/>
  </r>
  <r>
    <s v="No"/>
    <s v="Travel_Rarely"/>
    <x v="2"/>
    <s v="Current Employees"/>
    <x v="1"/>
    <x v="2"/>
    <x v="781"/>
    <x v="781"/>
    <x v="1"/>
    <x v="2"/>
    <x v="1"/>
    <s v="No"/>
    <s v="Y"/>
    <n v="2"/>
    <n v="-2"/>
    <n v="0"/>
    <x v="25"/>
    <x v="1"/>
    <m/>
    <n v="0"/>
    <n v="1"/>
    <n v="192"/>
    <n v="1"/>
    <x v="0"/>
    <x v="0"/>
    <n v="1"/>
    <n v="59"/>
    <n v="2"/>
    <n v="1"/>
    <x v="2"/>
    <n v="3955"/>
    <n v="11141"/>
    <n v="1"/>
    <n v="16"/>
    <n v="3"/>
    <n v="1"/>
    <n v="80"/>
    <n v="2"/>
    <n v="6"/>
    <n v="3"/>
    <n v="5"/>
    <n v="3"/>
    <n v="1"/>
    <n v="3"/>
  </r>
  <r>
    <s v="No"/>
    <s v="Travel_Rarely"/>
    <x v="2"/>
    <s v="Current Employees"/>
    <x v="1"/>
    <x v="1"/>
    <x v="782"/>
    <x v="782"/>
    <x v="1"/>
    <x v="3"/>
    <x v="1"/>
    <s v="No"/>
    <s v="Y"/>
    <n v="1"/>
    <n v="-2"/>
    <n v="0"/>
    <x v="7"/>
    <x v="1"/>
    <m/>
    <n v="0"/>
    <n v="1"/>
    <n v="1176"/>
    <n v="20"/>
    <x v="3"/>
    <x v="0"/>
    <n v="3"/>
    <n v="85"/>
    <n v="3"/>
    <n v="2"/>
    <x v="2"/>
    <n v="9957"/>
    <n v="9096"/>
    <n v="0"/>
    <n v="15"/>
    <n v="3"/>
    <n v="3"/>
    <n v="80"/>
    <n v="1"/>
    <n v="7"/>
    <n v="2"/>
    <n v="6"/>
    <n v="2"/>
    <n v="0"/>
    <n v="2"/>
  </r>
  <r>
    <s v="No"/>
    <s v="Travel_Rarely"/>
    <x v="0"/>
    <s v="Current Employees"/>
    <x v="1"/>
    <x v="4"/>
    <x v="783"/>
    <x v="783"/>
    <x v="0"/>
    <x v="1"/>
    <x v="1"/>
    <s v="No"/>
    <s v="Y"/>
    <n v="3"/>
    <n v="-2"/>
    <n v="0"/>
    <x v="0"/>
    <x v="1"/>
    <m/>
    <n v="0"/>
    <n v="1"/>
    <n v="509"/>
    <n v="7"/>
    <x v="0"/>
    <x v="0"/>
    <n v="4"/>
    <n v="43"/>
    <n v="4"/>
    <n v="1"/>
    <x v="0"/>
    <n v="3376"/>
    <n v="18863"/>
    <n v="1"/>
    <n v="13"/>
    <n v="3"/>
    <n v="3"/>
    <n v="80"/>
    <n v="0"/>
    <n v="10"/>
    <n v="3"/>
    <n v="10"/>
    <n v="6"/>
    <n v="0"/>
    <n v="8"/>
  </r>
  <r>
    <s v="No"/>
    <s v="Travel_Rarely"/>
    <x v="0"/>
    <s v="Current Employees"/>
    <x v="1"/>
    <x v="0"/>
    <x v="784"/>
    <x v="784"/>
    <x v="0"/>
    <x v="4"/>
    <x v="1"/>
    <s v="No"/>
    <s v="Y"/>
    <n v="4"/>
    <n v="-2"/>
    <n v="0"/>
    <x v="8"/>
    <x v="1"/>
    <m/>
    <n v="0"/>
    <n v="1"/>
    <n v="330"/>
    <n v="17"/>
    <x v="1"/>
    <x v="0"/>
    <n v="3"/>
    <n v="65"/>
    <n v="2"/>
    <n v="3"/>
    <x v="3"/>
    <n v="8823"/>
    <n v="24608"/>
    <n v="0"/>
    <n v="18"/>
    <n v="3"/>
    <n v="1"/>
    <n v="80"/>
    <n v="1"/>
    <n v="20"/>
    <n v="2"/>
    <n v="19"/>
    <n v="9"/>
    <n v="1"/>
    <n v="9"/>
  </r>
  <r>
    <s v="No"/>
    <s v="Travel_Rarely"/>
    <x v="0"/>
    <s v="Current Employees"/>
    <x v="1"/>
    <x v="4"/>
    <x v="785"/>
    <x v="785"/>
    <x v="1"/>
    <x v="4"/>
    <x v="1"/>
    <s v="No"/>
    <s v="Y"/>
    <n v="6"/>
    <n v="-2"/>
    <n v="0"/>
    <x v="32"/>
    <x v="1"/>
    <m/>
    <n v="0"/>
    <n v="1"/>
    <n v="1492"/>
    <n v="20"/>
    <x v="2"/>
    <x v="0"/>
    <n v="4"/>
    <n v="61"/>
    <n v="3"/>
    <n v="3"/>
    <x v="0"/>
    <n v="10322"/>
    <n v="26542"/>
    <n v="4"/>
    <n v="20"/>
    <n v="4"/>
    <n v="4"/>
    <n v="80"/>
    <n v="1"/>
    <n v="14"/>
    <n v="3"/>
    <n v="11"/>
    <n v="10"/>
    <n v="11"/>
    <n v="1"/>
  </r>
  <r>
    <s v="No"/>
    <s v="Non-Travel"/>
    <x v="2"/>
    <s v="Current Employees"/>
    <x v="1"/>
    <x v="0"/>
    <x v="786"/>
    <x v="786"/>
    <x v="1"/>
    <x v="2"/>
    <x v="1"/>
    <s v="No"/>
    <s v="Y"/>
    <n v="4"/>
    <n v="-2"/>
    <n v="0"/>
    <x v="4"/>
    <x v="1"/>
    <m/>
    <n v="0"/>
    <n v="1"/>
    <n v="1277"/>
    <n v="8"/>
    <x v="4"/>
    <x v="0"/>
    <n v="1"/>
    <n v="87"/>
    <n v="1"/>
    <n v="1"/>
    <x v="3"/>
    <n v="4621"/>
    <n v="5869"/>
    <n v="1"/>
    <n v="19"/>
    <n v="3"/>
    <n v="4"/>
    <n v="80"/>
    <n v="3"/>
    <n v="3"/>
    <n v="3"/>
    <n v="3"/>
    <n v="2"/>
    <n v="1"/>
    <n v="2"/>
  </r>
  <r>
    <s v="No"/>
    <s v="Travel_Frequently"/>
    <x v="3"/>
    <s v="Current Employees"/>
    <x v="1"/>
    <x v="0"/>
    <x v="787"/>
    <x v="787"/>
    <x v="1"/>
    <x v="3"/>
    <x v="1"/>
    <s v="No"/>
    <s v="Y"/>
    <n v="4"/>
    <n v="-2"/>
    <n v="0"/>
    <x v="27"/>
    <x v="1"/>
    <m/>
    <n v="0"/>
    <n v="1"/>
    <n v="1091"/>
    <n v="2"/>
    <x v="1"/>
    <x v="0"/>
    <n v="4"/>
    <n v="65"/>
    <n v="3"/>
    <n v="3"/>
    <x v="3"/>
    <n v="10976"/>
    <n v="15813"/>
    <n v="3"/>
    <n v="18"/>
    <n v="3"/>
    <n v="2"/>
    <n v="80"/>
    <n v="1"/>
    <n v="23"/>
    <n v="3"/>
    <n v="3"/>
    <n v="2"/>
    <n v="1"/>
    <n v="2"/>
  </r>
  <r>
    <s v="No"/>
    <s v="Travel_Rarely"/>
    <x v="2"/>
    <s v="Current Employees"/>
    <x v="1"/>
    <x v="1"/>
    <x v="788"/>
    <x v="788"/>
    <x v="0"/>
    <x v="1"/>
    <x v="0"/>
    <s v="No"/>
    <s v="Y"/>
    <n v="4"/>
    <n v="-2"/>
    <n v="0"/>
    <x v="14"/>
    <x v="1"/>
    <m/>
    <n v="0"/>
    <n v="1"/>
    <n v="857"/>
    <n v="10"/>
    <x v="3"/>
    <x v="0"/>
    <n v="3"/>
    <n v="59"/>
    <n v="3"/>
    <n v="2"/>
    <x v="2"/>
    <n v="3660"/>
    <n v="7909"/>
    <n v="3"/>
    <n v="13"/>
    <n v="3"/>
    <n v="4"/>
    <n v="80"/>
    <n v="0"/>
    <n v="10"/>
    <n v="4"/>
    <n v="8"/>
    <n v="7"/>
    <n v="1"/>
    <n v="7"/>
  </r>
  <r>
    <s v="Yes"/>
    <s v="Travel_Rarely"/>
    <x v="0"/>
    <s v="Ex-Employees"/>
    <x v="2"/>
    <x v="2"/>
    <x v="789"/>
    <x v="789"/>
    <x v="1"/>
    <x v="8"/>
    <x v="1"/>
    <s v="No"/>
    <s v="Y"/>
    <n v="1"/>
    <n v="-2"/>
    <n v="0"/>
    <x v="20"/>
    <x v="0"/>
    <n v="1"/>
    <n v="1"/>
    <n v="0"/>
    <n v="1376"/>
    <n v="1"/>
    <x v="0"/>
    <x v="0"/>
    <n v="2"/>
    <n v="91"/>
    <n v="2"/>
    <n v="3"/>
    <x v="2"/>
    <n v="10482"/>
    <n v="2326"/>
    <n v="9"/>
    <n v="14"/>
    <n v="3"/>
    <n v="4"/>
    <n v="80"/>
    <n v="1"/>
    <n v="24"/>
    <n v="3"/>
    <n v="20"/>
    <n v="6"/>
    <n v="3"/>
    <n v="6"/>
  </r>
  <r>
    <s v="No"/>
    <s v="Travel_Rarely"/>
    <x v="2"/>
    <s v="Current Employees"/>
    <x v="1"/>
    <x v="0"/>
    <x v="790"/>
    <x v="790"/>
    <x v="1"/>
    <x v="4"/>
    <x v="2"/>
    <s v="No"/>
    <s v="Y"/>
    <n v="2"/>
    <n v="-2"/>
    <n v="0"/>
    <x v="3"/>
    <x v="1"/>
    <m/>
    <n v="0"/>
    <n v="1"/>
    <n v="654"/>
    <n v="5"/>
    <x v="3"/>
    <x v="0"/>
    <n v="4"/>
    <n v="34"/>
    <n v="2"/>
    <n v="3"/>
    <x v="3"/>
    <n v="7119"/>
    <n v="21214"/>
    <n v="4"/>
    <n v="15"/>
    <n v="3"/>
    <n v="3"/>
    <n v="80"/>
    <n v="1"/>
    <n v="9"/>
    <n v="3"/>
    <n v="3"/>
    <n v="2"/>
    <n v="1"/>
    <n v="2"/>
  </r>
  <r>
    <s v="Yes"/>
    <s v="Travel_Rarely"/>
    <x v="0"/>
    <s v="Ex-Employees"/>
    <x v="0"/>
    <x v="4"/>
    <x v="791"/>
    <x v="791"/>
    <x v="1"/>
    <x v="0"/>
    <x v="0"/>
    <s v="Yes"/>
    <s v="Y"/>
    <n v="2"/>
    <n v="-2"/>
    <n v="0"/>
    <x v="10"/>
    <x v="0"/>
    <n v="1"/>
    <n v="1"/>
    <n v="0"/>
    <n v="1204"/>
    <n v="4"/>
    <x v="3"/>
    <x v="0"/>
    <n v="4"/>
    <n v="86"/>
    <n v="3"/>
    <n v="3"/>
    <x v="0"/>
    <n v="9582"/>
    <n v="10333"/>
    <n v="0"/>
    <n v="22"/>
    <n v="4"/>
    <n v="1"/>
    <n v="80"/>
    <n v="0"/>
    <n v="9"/>
    <n v="3"/>
    <n v="8"/>
    <n v="7"/>
    <n v="4"/>
    <n v="7"/>
  </r>
  <r>
    <s v="Yes"/>
    <s v="Travel_Frequently"/>
    <x v="2"/>
    <s v="Ex-Employees"/>
    <x v="1"/>
    <x v="2"/>
    <x v="792"/>
    <x v="792"/>
    <x v="0"/>
    <x v="1"/>
    <x v="0"/>
    <s v="No"/>
    <s v="Y"/>
    <n v="4"/>
    <n v="-2"/>
    <n v="0"/>
    <x v="3"/>
    <x v="0"/>
    <n v="1"/>
    <n v="1"/>
    <n v="0"/>
    <n v="827"/>
    <n v="29"/>
    <x v="2"/>
    <x v="0"/>
    <n v="1"/>
    <n v="54"/>
    <n v="2"/>
    <n v="2"/>
    <x v="2"/>
    <n v="4508"/>
    <n v="3129"/>
    <n v="1"/>
    <n v="22"/>
    <n v="4"/>
    <n v="2"/>
    <n v="80"/>
    <n v="0"/>
    <n v="14"/>
    <n v="3"/>
    <n v="13"/>
    <n v="7"/>
    <n v="3"/>
    <n v="8"/>
  </r>
  <r>
    <s v="No"/>
    <s v="Travel_Rarely"/>
    <x v="2"/>
    <s v="Current Employees"/>
    <x v="1"/>
    <x v="0"/>
    <x v="793"/>
    <x v="793"/>
    <x v="1"/>
    <x v="2"/>
    <x v="2"/>
    <s v="No"/>
    <s v="Y"/>
    <n v="5"/>
    <n v="-2"/>
    <n v="0"/>
    <x v="14"/>
    <x v="1"/>
    <m/>
    <n v="0"/>
    <n v="1"/>
    <n v="895"/>
    <n v="15"/>
    <x v="0"/>
    <x v="0"/>
    <n v="1"/>
    <n v="50"/>
    <n v="3"/>
    <n v="1"/>
    <x v="3"/>
    <n v="2207"/>
    <n v="22482"/>
    <n v="1"/>
    <n v="16"/>
    <n v="3"/>
    <n v="4"/>
    <n v="80"/>
    <n v="1"/>
    <n v="4"/>
    <n v="2"/>
    <n v="4"/>
    <n v="2"/>
    <n v="2"/>
    <n v="2"/>
  </r>
  <r>
    <s v="No"/>
    <s v="Travel_Frequently"/>
    <x v="2"/>
    <s v="Current Employees"/>
    <x v="1"/>
    <x v="0"/>
    <x v="794"/>
    <x v="794"/>
    <x v="1"/>
    <x v="4"/>
    <x v="0"/>
    <s v="No"/>
    <s v="Y"/>
    <n v="1"/>
    <n v="-2"/>
    <n v="0"/>
    <x v="13"/>
    <x v="1"/>
    <m/>
    <n v="0"/>
    <n v="1"/>
    <n v="618"/>
    <n v="3"/>
    <x v="1"/>
    <x v="0"/>
    <n v="1"/>
    <n v="45"/>
    <n v="3"/>
    <n v="2"/>
    <x v="3"/>
    <n v="7756"/>
    <n v="22266"/>
    <n v="0"/>
    <n v="17"/>
    <n v="3"/>
    <n v="3"/>
    <n v="80"/>
    <n v="0"/>
    <n v="7"/>
    <n v="2"/>
    <n v="6"/>
    <n v="2"/>
    <n v="0"/>
    <n v="4"/>
  </r>
  <r>
    <s v="No"/>
    <s v="Travel_Rarely"/>
    <x v="0"/>
    <s v="Current Employees"/>
    <x v="0"/>
    <x v="0"/>
    <x v="795"/>
    <x v="795"/>
    <x v="0"/>
    <x v="0"/>
    <x v="2"/>
    <s v="Yes"/>
    <s v="Y"/>
    <n v="5"/>
    <n v="-2"/>
    <n v="0"/>
    <x v="2"/>
    <x v="1"/>
    <m/>
    <n v="0"/>
    <n v="1"/>
    <n v="309"/>
    <n v="10"/>
    <x v="2"/>
    <x v="0"/>
    <n v="4"/>
    <n v="88"/>
    <n v="2"/>
    <n v="2"/>
    <x v="3"/>
    <n v="6694"/>
    <n v="24223"/>
    <n v="2"/>
    <n v="14"/>
    <n v="3"/>
    <n v="3"/>
    <n v="80"/>
    <n v="3"/>
    <n v="8"/>
    <n v="3"/>
    <n v="1"/>
    <n v="0"/>
    <n v="0"/>
    <n v="0"/>
  </r>
  <r>
    <s v="Yes"/>
    <s v="Travel_Rarely"/>
    <x v="2"/>
    <s v="Ex-Employees"/>
    <x v="1"/>
    <x v="4"/>
    <x v="796"/>
    <x v="796"/>
    <x v="1"/>
    <x v="2"/>
    <x v="1"/>
    <s v="Yes"/>
    <s v="Y"/>
    <n v="3"/>
    <n v="-2"/>
    <n v="0"/>
    <x v="36"/>
    <x v="0"/>
    <n v="1"/>
    <n v="1"/>
    <n v="0"/>
    <n v="1219"/>
    <n v="4"/>
    <x v="1"/>
    <x v="0"/>
    <n v="4"/>
    <n v="32"/>
    <n v="3"/>
    <n v="1"/>
    <x v="0"/>
    <n v="3691"/>
    <n v="4605"/>
    <n v="1"/>
    <n v="15"/>
    <n v="3"/>
    <n v="2"/>
    <n v="80"/>
    <n v="1"/>
    <n v="7"/>
    <n v="4"/>
    <n v="7"/>
    <n v="7"/>
    <n v="5"/>
    <n v="6"/>
  </r>
  <r>
    <s v="Yes"/>
    <s v="Travel_Rarely"/>
    <x v="2"/>
    <s v="Ex-Employees"/>
    <x v="1"/>
    <x v="2"/>
    <x v="797"/>
    <x v="797"/>
    <x v="1"/>
    <x v="2"/>
    <x v="2"/>
    <s v="No"/>
    <s v="Y"/>
    <n v="0"/>
    <n v="-2"/>
    <n v="0"/>
    <x v="25"/>
    <x v="0"/>
    <n v="1"/>
    <n v="1"/>
    <n v="0"/>
    <n v="1330"/>
    <n v="21"/>
    <x v="3"/>
    <x v="0"/>
    <n v="1"/>
    <n v="37"/>
    <n v="3"/>
    <n v="1"/>
    <x v="2"/>
    <n v="2377"/>
    <n v="19373"/>
    <n v="1"/>
    <n v="20"/>
    <n v="4"/>
    <n v="3"/>
    <n v="80"/>
    <n v="1"/>
    <n v="1"/>
    <n v="2"/>
    <n v="1"/>
    <n v="1"/>
    <n v="0"/>
    <n v="0"/>
  </r>
  <r>
    <s v="Yes"/>
    <s v="Travel_Rarely"/>
    <x v="2"/>
    <s v="Ex-Employees"/>
    <x v="1"/>
    <x v="2"/>
    <x v="798"/>
    <x v="798"/>
    <x v="1"/>
    <x v="1"/>
    <x v="0"/>
    <s v="Yes"/>
    <s v="Y"/>
    <n v="0"/>
    <n v="-2"/>
    <n v="0"/>
    <x v="3"/>
    <x v="0"/>
    <n v="1"/>
    <n v="1"/>
    <n v="0"/>
    <n v="1017"/>
    <n v="25"/>
    <x v="3"/>
    <x v="0"/>
    <n v="1"/>
    <n v="55"/>
    <n v="2"/>
    <n v="1"/>
    <x v="2"/>
    <n v="2313"/>
    <n v="2993"/>
    <n v="4"/>
    <n v="20"/>
    <n v="4"/>
    <n v="2"/>
    <n v="80"/>
    <n v="0"/>
    <n v="5"/>
    <n v="3"/>
    <n v="2"/>
    <n v="2"/>
    <n v="2"/>
    <n v="2"/>
  </r>
  <r>
    <s v="No"/>
    <s v="Travel_Rarely"/>
    <x v="0"/>
    <s v="Current Employees"/>
    <x v="1"/>
    <x v="2"/>
    <x v="799"/>
    <x v="799"/>
    <x v="1"/>
    <x v="5"/>
    <x v="1"/>
    <s v="No"/>
    <s v="Y"/>
    <n v="3"/>
    <n v="-2"/>
    <n v="0"/>
    <x v="19"/>
    <x v="1"/>
    <m/>
    <n v="0"/>
    <n v="1"/>
    <n v="469"/>
    <n v="2"/>
    <x v="0"/>
    <x v="0"/>
    <n v="4"/>
    <n v="35"/>
    <n v="3"/>
    <n v="4"/>
    <x v="2"/>
    <n v="17665"/>
    <n v="14399"/>
    <n v="0"/>
    <n v="17"/>
    <n v="3"/>
    <n v="4"/>
    <n v="80"/>
    <n v="1"/>
    <n v="23"/>
    <n v="3"/>
    <n v="22"/>
    <n v="6"/>
    <n v="13"/>
    <n v="7"/>
  </r>
  <r>
    <s v="Yes"/>
    <s v="Travel_Frequently"/>
    <x v="2"/>
    <s v="Ex-Employees"/>
    <x v="1"/>
    <x v="2"/>
    <x v="800"/>
    <x v="800"/>
    <x v="1"/>
    <x v="2"/>
    <x v="2"/>
    <s v="No"/>
    <s v="Y"/>
    <n v="2"/>
    <n v="-2"/>
    <n v="0"/>
    <x v="14"/>
    <x v="0"/>
    <n v="1"/>
    <n v="1"/>
    <n v="0"/>
    <n v="1009"/>
    <n v="1"/>
    <x v="3"/>
    <x v="0"/>
    <n v="1"/>
    <n v="45"/>
    <n v="2"/>
    <n v="1"/>
    <x v="2"/>
    <n v="2596"/>
    <n v="7160"/>
    <n v="1"/>
    <n v="15"/>
    <n v="3"/>
    <n v="1"/>
    <n v="80"/>
    <n v="2"/>
    <n v="1"/>
    <n v="3"/>
    <n v="1"/>
    <n v="0"/>
    <n v="0"/>
    <n v="0"/>
  </r>
  <r>
    <s v="Yes"/>
    <s v="Travel_Frequently"/>
    <x v="1"/>
    <s v="Ex-Employees"/>
    <x v="0"/>
    <x v="1"/>
    <x v="801"/>
    <x v="801"/>
    <x v="1"/>
    <x v="0"/>
    <x v="0"/>
    <s v="Yes"/>
    <s v="Y"/>
    <n v="4"/>
    <n v="-2"/>
    <n v="0"/>
    <x v="24"/>
    <x v="0"/>
    <n v="1"/>
    <n v="1"/>
    <n v="0"/>
    <n v="959"/>
    <n v="1"/>
    <x v="2"/>
    <x v="0"/>
    <n v="4"/>
    <n v="81"/>
    <n v="3"/>
    <n v="2"/>
    <x v="2"/>
    <n v="4728"/>
    <n v="17251"/>
    <n v="3"/>
    <n v="14"/>
    <n v="3"/>
    <n v="4"/>
    <n v="80"/>
    <n v="0"/>
    <n v="5"/>
    <n v="3"/>
    <n v="0"/>
    <n v="0"/>
    <n v="0"/>
    <n v="0"/>
  </r>
  <r>
    <s v="No"/>
    <s v="Travel_Frequently"/>
    <x v="2"/>
    <s v="Current Employees"/>
    <x v="0"/>
    <x v="0"/>
    <x v="802"/>
    <x v="802"/>
    <x v="0"/>
    <x v="0"/>
    <x v="1"/>
    <s v="No"/>
    <s v="Y"/>
    <n v="3"/>
    <n v="-2"/>
    <n v="0"/>
    <x v="3"/>
    <x v="1"/>
    <m/>
    <n v="0"/>
    <n v="1"/>
    <n v="970"/>
    <n v="7"/>
    <x v="3"/>
    <x v="0"/>
    <n v="4"/>
    <n v="30"/>
    <n v="3"/>
    <n v="2"/>
    <x v="3"/>
    <n v="4302"/>
    <n v="13401"/>
    <n v="0"/>
    <n v="17"/>
    <n v="3"/>
    <n v="3"/>
    <n v="80"/>
    <n v="1"/>
    <n v="4"/>
    <n v="3"/>
    <n v="3"/>
    <n v="2"/>
    <n v="0"/>
    <n v="2"/>
  </r>
  <r>
    <s v="No"/>
    <s v="Non-Travel"/>
    <x v="2"/>
    <s v="Current Employees"/>
    <x v="1"/>
    <x v="0"/>
    <x v="803"/>
    <x v="803"/>
    <x v="1"/>
    <x v="1"/>
    <x v="1"/>
    <s v="No"/>
    <s v="Y"/>
    <n v="2"/>
    <n v="-2"/>
    <n v="0"/>
    <x v="13"/>
    <x v="1"/>
    <m/>
    <n v="0"/>
    <n v="1"/>
    <n v="697"/>
    <n v="3"/>
    <x v="2"/>
    <x v="0"/>
    <n v="3"/>
    <n v="40"/>
    <n v="2"/>
    <n v="1"/>
    <x v="3"/>
    <n v="2979"/>
    <n v="22478"/>
    <n v="3"/>
    <n v="17"/>
    <n v="3"/>
    <n v="4"/>
    <n v="80"/>
    <n v="3"/>
    <n v="6"/>
    <n v="3"/>
    <n v="0"/>
    <n v="0"/>
    <n v="0"/>
    <n v="0"/>
  </r>
  <r>
    <s v="No"/>
    <s v="Non-Travel"/>
    <x v="1"/>
    <s v="Current Employees"/>
    <x v="1"/>
    <x v="2"/>
    <x v="804"/>
    <x v="804"/>
    <x v="1"/>
    <x v="5"/>
    <x v="0"/>
    <s v="No"/>
    <s v="Y"/>
    <n v="3"/>
    <n v="-2"/>
    <n v="0"/>
    <x v="26"/>
    <x v="1"/>
    <m/>
    <n v="0"/>
    <n v="1"/>
    <n v="1262"/>
    <n v="1"/>
    <x v="2"/>
    <x v="0"/>
    <n v="1"/>
    <n v="35"/>
    <n v="4"/>
    <n v="4"/>
    <x v="0"/>
    <n v="16885"/>
    <n v="16154"/>
    <n v="2"/>
    <n v="22"/>
    <n v="4"/>
    <n v="3"/>
    <n v="80"/>
    <n v="0"/>
    <n v="27"/>
    <n v="2"/>
    <n v="5"/>
    <n v="4"/>
    <n v="2"/>
    <n v="1"/>
  </r>
  <r>
    <s v="No"/>
    <s v="Non-Travel"/>
    <x v="1"/>
    <s v="Current Employees"/>
    <x v="0"/>
    <x v="0"/>
    <x v="805"/>
    <x v="805"/>
    <x v="0"/>
    <x v="0"/>
    <x v="1"/>
    <s v="No"/>
    <s v="Y"/>
    <n v="2"/>
    <n v="-2"/>
    <n v="0"/>
    <x v="28"/>
    <x v="1"/>
    <m/>
    <n v="0"/>
    <n v="1"/>
    <n v="1050"/>
    <n v="9"/>
    <x v="2"/>
    <x v="0"/>
    <n v="2"/>
    <n v="65"/>
    <n v="2"/>
    <n v="2"/>
    <x v="3"/>
    <n v="5593"/>
    <n v="17970"/>
    <n v="1"/>
    <n v="13"/>
    <n v="3"/>
    <n v="4"/>
    <n v="80"/>
    <n v="1"/>
    <n v="15"/>
    <n v="3"/>
    <n v="15"/>
    <n v="10"/>
    <n v="4"/>
    <n v="12"/>
  </r>
  <r>
    <s v="No"/>
    <s v="Travel_Rarely"/>
    <x v="1"/>
    <s v="Current Employees"/>
    <x v="1"/>
    <x v="0"/>
    <x v="806"/>
    <x v="806"/>
    <x v="1"/>
    <x v="4"/>
    <x v="0"/>
    <s v="No"/>
    <s v="Y"/>
    <n v="4"/>
    <n v="-2"/>
    <n v="0"/>
    <x v="39"/>
    <x v="1"/>
    <m/>
    <n v="0"/>
    <n v="1"/>
    <n v="994"/>
    <n v="7"/>
    <x v="2"/>
    <x v="0"/>
    <n v="2"/>
    <n v="87"/>
    <n v="3"/>
    <n v="3"/>
    <x v="3"/>
    <n v="10445"/>
    <n v="15322"/>
    <n v="7"/>
    <n v="19"/>
    <n v="3"/>
    <n v="4"/>
    <n v="80"/>
    <n v="0"/>
    <n v="18"/>
    <n v="3"/>
    <n v="8"/>
    <n v="6"/>
    <n v="4"/>
    <n v="0"/>
  </r>
  <r>
    <s v="No"/>
    <s v="Travel_Rarely"/>
    <x v="0"/>
    <s v="Current Employees"/>
    <x v="0"/>
    <x v="3"/>
    <x v="807"/>
    <x v="807"/>
    <x v="1"/>
    <x v="0"/>
    <x v="2"/>
    <s v="Yes"/>
    <s v="Y"/>
    <n v="2"/>
    <n v="-2"/>
    <n v="0"/>
    <x v="8"/>
    <x v="1"/>
    <m/>
    <n v="0"/>
    <n v="1"/>
    <n v="770"/>
    <n v="10"/>
    <x v="2"/>
    <x v="0"/>
    <n v="3"/>
    <n v="73"/>
    <n v="2"/>
    <n v="3"/>
    <x v="1"/>
    <n v="8740"/>
    <n v="5569"/>
    <n v="0"/>
    <n v="14"/>
    <n v="3"/>
    <n v="2"/>
    <n v="80"/>
    <n v="2"/>
    <n v="9"/>
    <n v="3"/>
    <n v="8"/>
    <n v="7"/>
    <n v="2"/>
    <n v="7"/>
  </r>
  <r>
    <s v="No"/>
    <s v="Travel_Rarely"/>
    <x v="2"/>
    <s v="Current Employees"/>
    <x v="1"/>
    <x v="0"/>
    <x v="808"/>
    <x v="808"/>
    <x v="0"/>
    <x v="1"/>
    <x v="2"/>
    <s v="No"/>
    <s v="Y"/>
    <n v="1"/>
    <n v="-2"/>
    <n v="0"/>
    <x v="11"/>
    <x v="1"/>
    <m/>
    <n v="0"/>
    <n v="1"/>
    <n v="1107"/>
    <n v="28"/>
    <x v="2"/>
    <x v="0"/>
    <n v="3"/>
    <n v="93"/>
    <n v="3"/>
    <n v="1"/>
    <x v="3"/>
    <n v="2514"/>
    <n v="26968"/>
    <n v="4"/>
    <n v="22"/>
    <n v="4"/>
    <n v="1"/>
    <n v="80"/>
    <n v="1"/>
    <n v="11"/>
    <n v="3"/>
    <n v="7"/>
    <n v="5"/>
    <n v="1"/>
    <n v="7"/>
  </r>
  <r>
    <s v="No"/>
    <s v="Travel_Rarely"/>
    <x v="2"/>
    <s v="Current Employees"/>
    <x v="1"/>
    <x v="2"/>
    <x v="809"/>
    <x v="809"/>
    <x v="0"/>
    <x v="3"/>
    <x v="2"/>
    <s v="No"/>
    <s v="Y"/>
    <n v="3"/>
    <n v="-2"/>
    <n v="0"/>
    <x v="14"/>
    <x v="1"/>
    <m/>
    <n v="0"/>
    <n v="1"/>
    <n v="950"/>
    <n v="3"/>
    <x v="3"/>
    <x v="0"/>
    <n v="4"/>
    <n v="93"/>
    <n v="3"/>
    <n v="3"/>
    <x v="2"/>
    <n v="7655"/>
    <n v="8039"/>
    <n v="0"/>
    <n v="17"/>
    <n v="3"/>
    <n v="2"/>
    <n v="80"/>
    <n v="3"/>
    <n v="10"/>
    <n v="2"/>
    <n v="9"/>
    <n v="7"/>
    <n v="1"/>
    <n v="7"/>
  </r>
  <r>
    <s v="No"/>
    <s v="Travel_Rarely"/>
    <x v="1"/>
    <s v="Current Employees"/>
    <x v="0"/>
    <x v="3"/>
    <x v="810"/>
    <x v="810"/>
    <x v="1"/>
    <x v="5"/>
    <x v="1"/>
    <s v="No"/>
    <s v="Y"/>
    <n v="3"/>
    <n v="-2"/>
    <n v="0"/>
    <x v="21"/>
    <x v="1"/>
    <m/>
    <n v="0"/>
    <n v="1"/>
    <n v="406"/>
    <n v="3"/>
    <x v="1"/>
    <x v="0"/>
    <n v="1"/>
    <n v="52"/>
    <n v="3"/>
    <n v="4"/>
    <x v="1"/>
    <n v="17465"/>
    <n v="15596"/>
    <n v="3"/>
    <n v="12"/>
    <n v="3"/>
    <n v="4"/>
    <n v="80"/>
    <n v="1"/>
    <n v="23"/>
    <n v="3"/>
    <n v="12"/>
    <n v="9"/>
    <n v="4"/>
    <n v="9"/>
  </r>
  <r>
    <s v="No"/>
    <s v="Travel_Rarely"/>
    <x v="0"/>
    <s v="Current Employees"/>
    <x v="0"/>
    <x v="3"/>
    <x v="811"/>
    <x v="811"/>
    <x v="1"/>
    <x v="0"/>
    <x v="0"/>
    <s v="No"/>
    <s v="Y"/>
    <n v="2"/>
    <n v="-2"/>
    <n v="0"/>
    <x v="8"/>
    <x v="1"/>
    <m/>
    <n v="0"/>
    <n v="1"/>
    <n v="130"/>
    <n v="2"/>
    <x v="0"/>
    <x v="0"/>
    <n v="4"/>
    <n v="32"/>
    <n v="3"/>
    <n v="3"/>
    <x v="1"/>
    <n v="7351"/>
    <n v="20619"/>
    <n v="7"/>
    <n v="16"/>
    <n v="3"/>
    <n v="3"/>
    <n v="80"/>
    <n v="0"/>
    <n v="10"/>
    <n v="3"/>
    <n v="1"/>
    <n v="0"/>
    <n v="0"/>
    <n v="0"/>
  </r>
  <r>
    <s v="No"/>
    <s v="Travel_Frequently"/>
    <x v="0"/>
    <s v="Current Employees"/>
    <x v="1"/>
    <x v="0"/>
    <x v="812"/>
    <x v="812"/>
    <x v="0"/>
    <x v="3"/>
    <x v="1"/>
    <s v="No"/>
    <s v="Y"/>
    <n v="1"/>
    <n v="-2"/>
    <n v="0"/>
    <x v="23"/>
    <x v="1"/>
    <m/>
    <n v="0"/>
    <n v="1"/>
    <n v="1082"/>
    <n v="27"/>
    <x v="3"/>
    <x v="0"/>
    <n v="3"/>
    <n v="83"/>
    <n v="3"/>
    <n v="3"/>
    <x v="3"/>
    <n v="10820"/>
    <n v="11535"/>
    <n v="8"/>
    <n v="11"/>
    <n v="3"/>
    <n v="3"/>
    <n v="80"/>
    <n v="1"/>
    <n v="18"/>
    <n v="3"/>
    <n v="8"/>
    <n v="7"/>
    <n v="0"/>
    <n v="1"/>
  </r>
  <r>
    <s v="Yes"/>
    <s v="Travel_Frequently"/>
    <x v="0"/>
    <s v="Ex-Employees"/>
    <x v="1"/>
    <x v="0"/>
    <x v="813"/>
    <x v="813"/>
    <x v="1"/>
    <x v="4"/>
    <x v="2"/>
    <s v="No"/>
    <s v="Y"/>
    <n v="4"/>
    <n v="-2"/>
    <n v="0"/>
    <x v="22"/>
    <x v="0"/>
    <n v="1"/>
    <n v="1"/>
    <n v="0"/>
    <n v="203"/>
    <n v="2"/>
    <x v="3"/>
    <x v="0"/>
    <n v="1"/>
    <n v="84"/>
    <n v="3"/>
    <n v="4"/>
    <x v="3"/>
    <n v="12169"/>
    <n v="13547"/>
    <n v="7"/>
    <n v="11"/>
    <n v="3"/>
    <n v="4"/>
    <n v="80"/>
    <n v="3"/>
    <n v="21"/>
    <n v="3"/>
    <n v="18"/>
    <n v="7"/>
    <n v="11"/>
    <n v="5"/>
  </r>
  <r>
    <s v="No"/>
    <s v="Travel_Rarely"/>
    <x v="0"/>
    <s v="Current Employees"/>
    <x v="1"/>
    <x v="2"/>
    <x v="814"/>
    <x v="814"/>
    <x v="1"/>
    <x v="7"/>
    <x v="0"/>
    <s v="No"/>
    <s v="Y"/>
    <n v="2"/>
    <n v="-2"/>
    <n v="0"/>
    <x v="32"/>
    <x v="1"/>
    <m/>
    <n v="0"/>
    <n v="1"/>
    <n v="1308"/>
    <n v="14"/>
    <x v="3"/>
    <x v="0"/>
    <n v="3"/>
    <n v="44"/>
    <n v="2"/>
    <n v="5"/>
    <x v="2"/>
    <n v="19626"/>
    <n v="17544"/>
    <n v="1"/>
    <n v="14"/>
    <n v="3"/>
    <n v="1"/>
    <n v="80"/>
    <n v="0"/>
    <n v="21"/>
    <n v="4"/>
    <n v="20"/>
    <n v="7"/>
    <n v="4"/>
    <n v="9"/>
  </r>
  <r>
    <s v="No"/>
    <s v="Travel_Rarely"/>
    <x v="4"/>
    <s v="Current Employees"/>
    <x v="1"/>
    <x v="4"/>
    <x v="815"/>
    <x v="815"/>
    <x v="0"/>
    <x v="1"/>
    <x v="0"/>
    <s v="Yes"/>
    <s v="Y"/>
    <n v="6"/>
    <n v="-2"/>
    <n v="0"/>
    <x v="18"/>
    <x v="1"/>
    <m/>
    <n v="0"/>
    <n v="1"/>
    <n v="984"/>
    <n v="1"/>
    <x v="1"/>
    <x v="0"/>
    <n v="4"/>
    <n v="70"/>
    <n v="2"/>
    <n v="1"/>
    <x v="0"/>
    <n v="2070"/>
    <n v="25326"/>
    <n v="1"/>
    <n v="11"/>
    <n v="3"/>
    <n v="3"/>
    <n v="80"/>
    <n v="0"/>
    <n v="2"/>
    <n v="4"/>
    <n v="2"/>
    <n v="2"/>
    <n v="2"/>
    <n v="2"/>
  </r>
  <r>
    <s v="No"/>
    <s v="Non-Travel"/>
    <x v="0"/>
    <s v="Current Employees"/>
    <x v="1"/>
    <x v="0"/>
    <x v="816"/>
    <x v="816"/>
    <x v="1"/>
    <x v="2"/>
    <x v="0"/>
    <s v="No"/>
    <s v="Y"/>
    <n v="2"/>
    <n v="-2"/>
    <n v="0"/>
    <x v="22"/>
    <x v="1"/>
    <m/>
    <n v="0"/>
    <n v="1"/>
    <n v="439"/>
    <n v="9"/>
    <x v="3"/>
    <x v="0"/>
    <n v="3"/>
    <n v="70"/>
    <n v="3"/>
    <n v="2"/>
    <x v="3"/>
    <n v="6782"/>
    <n v="8770"/>
    <n v="9"/>
    <n v="15"/>
    <n v="3"/>
    <n v="3"/>
    <n v="80"/>
    <n v="0"/>
    <n v="9"/>
    <n v="2"/>
    <n v="5"/>
    <n v="4"/>
    <n v="0"/>
    <n v="3"/>
  </r>
  <r>
    <s v="No"/>
    <s v="Non-Travel"/>
    <x v="0"/>
    <s v="Current Employees"/>
    <x v="1"/>
    <x v="0"/>
    <x v="817"/>
    <x v="817"/>
    <x v="1"/>
    <x v="3"/>
    <x v="0"/>
    <s v="No"/>
    <s v="Y"/>
    <n v="0"/>
    <n v="-2"/>
    <n v="0"/>
    <x v="9"/>
    <x v="1"/>
    <m/>
    <n v="0"/>
    <n v="1"/>
    <n v="217"/>
    <n v="18"/>
    <x v="2"/>
    <x v="0"/>
    <n v="1"/>
    <n v="78"/>
    <n v="3"/>
    <n v="2"/>
    <x v="3"/>
    <n v="7779"/>
    <n v="23238"/>
    <n v="2"/>
    <n v="20"/>
    <n v="4"/>
    <n v="1"/>
    <n v="80"/>
    <n v="0"/>
    <n v="18"/>
    <n v="3"/>
    <n v="11"/>
    <n v="9"/>
    <n v="0"/>
    <n v="9"/>
  </r>
  <r>
    <s v="No"/>
    <s v="Travel_Frequently"/>
    <x v="2"/>
    <s v="Current Employees"/>
    <x v="0"/>
    <x v="0"/>
    <x v="818"/>
    <x v="818"/>
    <x v="1"/>
    <x v="6"/>
    <x v="1"/>
    <s v="No"/>
    <s v="Y"/>
    <n v="4"/>
    <n v="-2"/>
    <n v="0"/>
    <x v="12"/>
    <x v="1"/>
    <m/>
    <n v="0"/>
    <n v="1"/>
    <n v="793"/>
    <n v="20"/>
    <x v="3"/>
    <x v="0"/>
    <n v="3"/>
    <n v="67"/>
    <n v="4"/>
    <n v="1"/>
    <x v="3"/>
    <n v="2791"/>
    <n v="21981"/>
    <n v="0"/>
    <n v="12"/>
    <n v="3"/>
    <n v="1"/>
    <n v="80"/>
    <n v="1"/>
    <n v="3"/>
    <n v="3"/>
    <n v="2"/>
    <n v="2"/>
    <n v="2"/>
    <n v="2"/>
  </r>
  <r>
    <s v="No"/>
    <s v="Travel_Rarely"/>
    <x v="2"/>
    <s v="Current Employees"/>
    <x v="1"/>
    <x v="0"/>
    <x v="819"/>
    <x v="819"/>
    <x v="1"/>
    <x v="1"/>
    <x v="1"/>
    <s v="No"/>
    <s v="Y"/>
    <n v="2"/>
    <n v="-2"/>
    <n v="0"/>
    <x v="14"/>
    <x v="1"/>
    <m/>
    <n v="0"/>
    <n v="1"/>
    <n v="1451"/>
    <n v="2"/>
    <x v="1"/>
    <x v="0"/>
    <n v="1"/>
    <n v="67"/>
    <n v="2"/>
    <n v="1"/>
    <x v="3"/>
    <n v="3201"/>
    <n v="19911"/>
    <n v="0"/>
    <n v="17"/>
    <n v="3"/>
    <n v="1"/>
    <n v="80"/>
    <n v="0"/>
    <n v="6"/>
    <n v="1"/>
    <n v="5"/>
    <n v="3"/>
    <n v="0"/>
    <n v="4"/>
  </r>
  <r>
    <s v="No"/>
    <s v="Travel_Frequently"/>
    <x v="0"/>
    <s v="Current Employees"/>
    <x v="0"/>
    <x v="3"/>
    <x v="820"/>
    <x v="820"/>
    <x v="1"/>
    <x v="0"/>
    <x v="2"/>
    <s v="No"/>
    <s v="Y"/>
    <n v="3"/>
    <n v="-2"/>
    <n v="0"/>
    <x v="10"/>
    <x v="1"/>
    <m/>
    <n v="0"/>
    <n v="1"/>
    <n v="1182"/>
    <n v="11"/>
    <x v="0"/>
    <x v="0"/>
    <n v="4"/>
    <n v="54"/>
    <n v="3"/>
    <n v="2"/>
    <x v="1"/>
    <n v="4968"/>
    <n v="18500"/>
    <n v="1"/>
    <n v="11"/>
    <n v="3"/>
    <n v="4"/>
    <n v="80"/>
    <n v="1"/>
    <n v="5"/>
    <n v="3"/>
    <n v="5"/>
    <n v="2"/>
    <n v="0"/>
    <n v="2"/>
  </r>
  <r>
    <s v="No"/>
    <s v="Travel_Rarely"/>
    <x v="1"/>
    <s v="Current Employees"/>
    <x v="0"/>
    <x v="4"/>
    <x v="821"/>
    <x v="821"/>
    <x v="1"/>
    <x v="0"/>
    <x v="1"/>
    <s v="No"/>
    <s v="Y"/>
    <n v="3"/>
    <n v="-2"/>
    <n v="0"/>
    <x v="1"/>
    <x v="1"/>
    <m/>
    <n v="0"/>
    <n v="1"/>
    <n v="174"/>
    <n v="8"/>
    <x v="2"/>
    <x v="0"/>
    <n v="4"/>
    <n v="56"/>
    <n v="2"/>
    <n v="4"/>
    <x v="0"/>
    <n v="13120"/>
    <n v="11879"/>
    <n v="6"/>
    <n v="17"/>
    <n v="3"/>
    <n v="2"/>
    <n v="80"/>
    <n v="1"/>
    <n v="22"/>
    <n v="3"/>
    <n v="9"/>
    <n v="8"/>
    <n v="2"/>
    <n v="3"/>
  </r>
  <r>
    <s v="No"/>
    <s v="Travel_Frequently"/>
    <x v="2"/>
    <s v="Current Employees"/>
    <x v="1"/>
    <x v="0"/>
    <x v="822"/>
    <x v="822"/>
    <x v="1"/>
    <x v="3"/>
    <x v="0"/>
    <s v="No"/>
    <s v="Y"/>
    <n v="3"/>
    <n v="-2"/>
    <n v="0"/>
    <x v="13"/>
    <x v="1"/>
    <m/>
    <n v="0"/>
    <n v="1"/>
    <n v="1003"/>
    <n v="2"/>
    <x v="0"/>
    <x v="0"/>
    <n v="4"/>
    <n v="95"/>
    <n v="3"/>
    <n v="2"/>
    <x v="3"/>
    <n v="4033"/>
    <n v="15834"/>
    <n v="2"/>
    <n v="11"/>
    <n v="3"/>
    <n v="4"/>
    <n v="80"/>
    <n v="0"/>
    <n v="5"/>
    <n v="2"/>
    <n v="3"/>
    <n v="2"/>
    <n v="0"/>
    <n v="2"/>
  </r>
  <r>
    <s v="No"/>
    <s v="Travel_Frequently"/>
    <x v="2"/>
    <s v="Current Employees"/>
    <x v="1"/>
    <x v="0"/>
    <x v="823"/>
    <x v="823"/>
    <x v="0"/>
    <x v="1"/>
    <x v="2"/>
    <s v="No"/>
    <s v="Y"/>
    <n v="2"/>
    <n v="-2"/>
    <n v="0"/>
    <x v="11"/>
    <x v="1"/>
    <m/>
    <n v="0"/>
    <n v="1"/>
    <n v="490"/>
    <n v="10"/>
    <x v="3"/>
    <x v="0"/>
    <n v="4"/>
    <n v="61"/>
    <n v="3"/>
    <n v="1"/>
    <x v="3"/>
    <n v="3291"/>
    <n v="17940"/>
    <n v="0"/>
    <n v="14"/>
    <n v="3"/>
    <n v="4"/>
    <n v="80"/>
    <n v="2"/>
    <n v="8"/>
    <n v="2"/>
    <n v="7"/>
    <n v="5"/>
    <n v="1"/>
    <n v="1"/>
  </r>
  <r>
    <s v="No"/>
    <s v="Travel_Rarely"/>
    <x v="0"/>
    <s v="Current Employees"/>
    <x v="1"/>
    <x v="2"/>
    <x v="824"/>
    <x v="824"/>
    <x v="1"/>
    <x v="2"/>
    <x v="0"/>
    <s v="No"/>
    <s v="Y"/>
    <n v="3"/>
    <n v="-2"/>
    <n v="0"/>
    <x v="19"/>
    <x v="1"/>
    <m/>
    <n v="0"/>
    <n v="1"/>
    <n v="188"/>
    <n v="29"/>
    <x v="3"/>
    <x v="0"/>
    <n v="2"/>
    <n v="56"/>
    <n v="1"/>
    <n v="2"/>
    <x v="0"/>
    <n v="4272"/>
    <n v="9558"/>
    <n v="4"/>
    <n v="19"/>
    <n v="3"/>
    <n v="1"/>
    <n v="80"/>
    <n v="0"/>
    <n v="16"/>
    <n v="3"/>
    <n v="1"/>
    <n v="0"/>
    <n v="0"/>
    <n v="0"/>
  </r>
  <r>
    <s v="No"/>
    <s v="Travel_Rarely"/>
    <x v="2"/>
    <s v="Current Employees"/>
    <x v="1"/>
    <x v="2"/>
    <x v="825"/>
    <x v="825"/>
    <x v="1"/>
    <x v="3"/>
    <x v="1"/>
    <s v="Yes"/>
    <s v="Y"/>
    <n v="2"/>
    <n v="-2"/>
    <n v="0"/>
    <x v="11"/>
    <x v="1"/>
    <m/>
    <n v="0"/>
    <n v="1"/>
    <n v="718"/>
    <n v="8"/>
    <x v="1"/>
    <x v="0"/>
    <n v="2"/>
    <n v="79"/>
    <n v="2"/>
    <n v="2"/>
    <x v="0"/>
    <n v="5056"/>
    <n v="17689"/>
    <n v="1"/>
    <n v="15"/>
    <n v="3"/>
    <n v="3"/>
    <n v="80"/>
    <n v="1"/>
    <n v="10"/>
    <n v="2"/>
    <n v="10"/>
    <n v="7"/>
    <n v="1"/>
    <n v="2"/>
  </r>
  <r>
    <s v="No"/>
    <s v="Travel_Rarely"/>
    <x v="0"/>
    <s v="Current Employees"/>
    <x v="2"/>
    <x v="5"/>
    <x v="826"/>
    <x v="826"/>
    <x v="1"/>
    <x v="8"/>
    <x v="1"/>
    <s v="No"/>
    <s v="Y"/>
    <n v="2"/>
    <n v="-2"/>
    <n v="0"/>
    <x v="8"/>
    <x v="1"/>
    <m/>
    <n v="0"/>
    <n v="1"/>
    <n v="433"/>
    <n v="1"/>
    <x v="3"/>
    <x v="0"/>
    <n v="3"/>
    <n v="37"/>
    <n v="4"/>
    <n v="1"/>
    <x v="2"/>
    <n v="2844"/>
    <n v="6004"/>
    <n v="1"/>
    <n v="13"/>
    <n v="3"/>
    <n v="4"/>
    <n v="80"/>
    <n v="1"/>
    <n v="7"/>
    <n v="4"/>
    <n v="7"/>
    <n v="6"/>
    <n v="5"/>
    <n v="0"/>
  </r>
  <r>
    <s v="No"/>
    <s v="Travel_Frequently"/>
    <x v="2"/>
    <s v="Current Employees"/>
    <x v="1"/>
    <x v="0"/>
    <x v="827"/>
    <x v="827"/>
    <x v="1"/>
    <x v="1"/>
    <x v="2"/>
    <s v="Yes"/>
    <s v="Y"/>
    <n v="2"/>
    <n v="-2"/>
    <n v="0"/>
    <x v="14"/>
    <x v="1"/>
    <m/>
    <n v="0"/>
    <n v="1"/>
    <n v="773"/>
    <n v="6"/>
    <x v="3"/>
    <x v="0"/>
    <n v="3"/>
    <n v="39"/>
    <n v="2"/>
    <n v="1"/>
    <x v="3"/>
    <n v="2703"/>
    <n v="22088"/>
    <n v="1"/>
    <n v="14"/>
    <n v="3"/>
    <n v="4"/>
    <n v="80"/>
    <n v="1"/>
    <n v="3"/>
    <n v="3"/>
    <n v="3"/>
    <n v="1"/>
    <n v="0"/>
    <n v="2"/>
  </r>
  <r>
    <s v="Yes"/>
    <s v="Non-Travel"/>
    <x v="4"/>
    <s v="Ex-Employees"/>
    <x v="1"/>
    <x v="2"/>
    <x v="828"/>
    <x v="828"/>
    <x v="1"/>
    <x v="2"/>
    <x v="0"/>
    <s v="No"/>
    <s v="Y"/>
    <n v="0"/>
    <n v="-2"/>
    <n v="0"/>
    <x v="41"/>
    <x v="0"/>
    <n v="1"/>
    <n v="1"/>
    <n v="0"/>
    <n v="247"/>
    <n v="8"/>
    <x v="1"/>
    <x v="0"/>
    <n v="3"/>
    <n v="80"/>
    <n v="3"/>
    <n v="1"/>
    <x v="2"/>
    <n v="1904"/>
    <n v="13556"/>
    <n v="1"/>
    <n v="12"/>
    <n v="3"/>
    <n v="4"/>
    <n v="80"/>
    <n v="0"/>
    <n v="0"/>
    <n v="3"/>
    <n v="0"/>
    <n v="0"/>
    <n v="0"/>
    <n v="0"/>
  </r>
  <r>
    <s v="Yes"/>
    <s v="Travel_Rarely"/>
    <x v="2"/>
    <s v="Ex-Employees"/>
    <x v="0"/>
    <x v="3"/>
    <x v="829"/>
    <x v="829"/>
    <x v="0"/>
    <x v="0"/>
    <x v="0"/>
    <s v="Yes"/>
    <s v="Y"/>
    <n v="3"/>
    <n v="-2"/>
    <n v="0"/>
    <x v="3"/>
    <x v="0"/>
    <n v="1"/>
    <n v="1"/>
    <n v="0"/>
    <n v="603"/>
    <n v="9"/>
    <x v="2"/>
    <x v="0"/>
    <n v="1"/>
    <n v="77"/>
    <n v="3"/>
    <n v="2"/>
    <x v="1"/>
    <n v="8224"/>
    <n v="18385"/>
    <n v="0"/>
    <n v="17"/>
    <n v="3"/>
    <n v="1"/>
    <n v="80"/>
    <n v="0"/>
    <n v="6"/>
    <n v="3"/>
    <n v="5"/>
    <n v="2"/>
    <n v="0"/>
    <n v="3"/>
  </r>
  <r>
    <s v="No"/>
    <s v="Travel_Rarely"/>
    <x v="0"/>
    <s v="Current Employees"/>
    <x v="1"/>
    <x v="0"/>
    <x v="830"/>
    <x v="830"/>
    <x v="1"/>
    <x v="2"/>
    <x v="1"/>
    <s v="Yes"/>
    <s v="Y"/>
    <n v="4"/>
    <n v="-2"/>
    <n v="0"/>
    <x v="0"/>
    <x v="1"/>
    <m/>
    <n v="0"/>
    <n v="1"/>
    <n v="167"/>
    <n v="12"/>
    <x v="2"/>
    <x v="0"/>
    <n v="2"/>
    <n v="46"/>
    <n v="3"/>
    <n v="1"/>
    <x v="3"/>
    <n v="4766"/>
    <n v="9051"/>
    <n v="3"/>
    <n v="11"/>
    <n v="3"/>
    <n v="1"/>
    <n v="80"/>
    <n v="1"/>
    <n v="6"/>
    <n v="3"/>
    <n v="1"/>
    <n v="0"/>
    <n v="0"/>
    <n v="0"/>
  </r>
  <r>
    <s v="Yes"/>
    <s v="Travel_Frequently"/>
    <x v="2"/>
    <s v="Ex-Employees"/>
    <x v="1"/>
    <x v="2"/>
    <x v="831"/>
    <x v="831"/>
    <x v="1"/>
    <x v="2"/>
    <x v="1"/>
    <s v="No"/>
    <s v="Y"/>
    <n v="5"/>
    <n v="-2"/>
    <n v="0"/>
    <x v="12"/>
    <x v="0"/>
    <n v="1"/>
    <n v="1"/>
    <n v="0"/>
    <n v="874"/>
    <n v="15"/>
    <x v="3"/>
    <x v="0"/>
    <n v="3"/>
    <n v="72"/>
    <n v="3"/>
    <n v="1"/>
    <x v="2"/>
    <n v="2610"/>
    <n v="6233"/>
    <n v="1"/>
    <n v="12"/>
    <n v="3"/>
    <n v="3"/>
    <n v="80"/>
    <n v="1"/>
    <n v="2"/>
    <n v="2"/>
    <n v="2"/>
    <n v="2"/>
    <n v="2"/>
    <n v="2"/>
  </r>
  <r>
    <s v="No"/>
    <s v="Travel_Rarely"/>
    <x v="0"/>
    <s v="Current Employees"/>
    <x v="1"/>
    <x v="2"/>
    <x v="832"/>
    <x v="832"/>
    <x v="0"/>
    <x v="4"/>
    <x v="2"/>
    <s v="No"/>
    <s v="Y"/>
    <n v="2"/>
    <n v="-2"/>
    <n v="0"/>
    <x v="2"/>
    <x v="1"/>
    <m/>
    <n v="0"/>
    <n v="1"/>
    <n v="367"/>
    <n v="25"/>
    <x v="0"/>
    <x v="0"/>
    <n v="3"/>
    <n v="52"/>
    <n v="2"/>
    <n v="2"/>
    <x v="0"/>
    <n v="5731"/>
    <n v="17171"/>
    <n v="7"/>
    <n v="13"/>
    <n v="3"/>
    <n v="3"/>
    <n v="80"/>
    <n v="2"/>
    <n v="9"/>
    <n v="3"/>
    <n v="6"/>
    <n v="2"/>
    <n v="1"/>
    <n v="3"/>
  </r>
  <r>
    <s v="No"/>
    <s v="Travel_Rarely"/>
    <x v="2"/>
    <s v="Current Employees"/>
    <x v="1"/>
    <x v="0"/>
    <x v="833"/>
    <x v="833"/>
    <x v="1"/>
    <x v="1"/>
    <x v="1"/>
    <s v="No"/>
    <s v="Y"/>
    <n v="0"/>
    <n v="-2"/>
    <n v="0"/>
    <x v="4"/>
    <x v="1"/>
    <m/>
    <n v="0"/>
    <n v="1"/>
    <n v="199"/>
    <n v="6"/>
    <x v="3"/>
    <x v="0"/>
    <n v="4"/>
    <n v="55"/>
    <n v="2"/>
    <n v="1"/>
    <x v="3"/>
    <n v="2539"/>
    <n v="7950"/>
    <n v="1"/>
    <n v="13"/>
    <n v="3"/>
    <n v="3"/>
    <n v="80"/>
    <n v="1"/>
    <n v="4"/>
    <n v="3"/>
    <n v="4"/>
    <n v="2"/>
    <n v="2"/>
    <n v="2"/>
  </r>
  <r>
    <s v="No"/>
    <s v="Travel_Rarely"/>
    <x v="2"/>
    <s v="Current Employees"/>
    <x v="0"/>
    <x v="0"/>
    <x v="834"/>
    <x v="834"/>
    <x v="0"/>
    <x v="0"/>
    <x v="1"/>
    <s v="No"/>
    <s v="Y"/>
    <n v="3"/>
    <n v="-2"/>
    <n v="0"/>
    <x v="13"/>
    <x v="1"/>
    <m/>
    <n v="0"/>
    <n v="1"/>
    <n v="1400"/>
    <n v="9"/>
    <x v="1"/>
    <x v="0"/>
    <n v="2"/>
    <n v="70"/>
    <n v="3"/>
    <n v="2"/>
    <x v="3"/>
    <n v="5714"/>
    <n v="5829"/>
    <n v="1"/>
    <n v="20"/>
    <n v="4"/>
    <n v="1"/>
    <n v="80"/>
    <n v="0"/>
    <n v="6"/>
    <n v="2"/>
    <n v="6"/>
    <n v="5"/>
    <n v="1"/>
    <n v="3"/>
  </r>
  <r>
    <s v="No"/>
    <s v="Travel_Rarely"/>
    <x v="0"/>
    <s v="Current Employees"/>
    <x v="2"/>
    <x v="4"/>
    <x v="835"/>
    <x v="835"/>
    <x v="1"/>
    <x v="8"/>
    <x v="0"/>
    <s v="No"/>
    <s v="Y"/>
    <n v="2"/>
    <n v="-2"/>
    <n v="0"/>
    <x v="10"/>
    <x v="1"/>
    <m/>
    <n v="0"/>
    <n v="1"/>
    <n v="528"/>
    <n v="8"/>
    <x v="2"/>
    <x v="0"/>
    <n v="4"/>
    <n v="100"/>
    <n v="3"/>
    <n v="1"/>
    <x v="0"/>
    <n v="4323"/>
    <n v="7108"/>
    <n v="1"/>
    <n v="17"/>
    <n v="3"/>
    <n v="2"/>
    <n v="80"/>
    <n v="0"/>
    <n v="6"/>
    <n v="1"/>
    <n v="5"/>
    <n v="4"/>
    <n v="1"/>
    <n v="4"/>
  </r>
  <r>
    <s v="Yes"/>
    <s v="Travel_Rarely"/>
    <x v="2"/>
    <s v="Ex-Employees"/>
    <x v="0"/>
    <x v="0"/>
    <x v="836"/>
    <x v="836"/>
    <x v="0"/>
    <x v="0"/>
    <x v="1"/>
    <s v="No"/>
    <s v="Y"/>
    <n v="3"/>
    <n v="-2"/>
    <n v="0"/>
    <x v="11"/>
    <x v="0"/>
    <n v="1"/>
    <n v="1"/>
    <n v="0"/>
    <n v="408"/>
    <n v="23"/>
    <x v="1"/>
    <x v="0"/>
    <n v="4"/>
    <n v="45"/>
    <n v="2"/>
    <n v="3"/>
    <x v="3"/>
    <n v="7336"/>
    <n v="11162"/>
    <n v="1"/>
    <n v="13"/>
    <n v="3"/>
    <n v="1"/>
    <n v="80"/>
    <n v="1"/>
    <n v="11"/>
    <n v="1"/>
    <n v="11"/>
    <n v="8"/>
    <n v="3"/>
    <n v="10"/>
  </r>
  <r>
    <s v="No"/>
    <s v="Travel_Frequently"/>
    <x v="0"/>
    <s v="Current Employees"/>
    <x v="1"/>
    <x v="2"/>
    <x v="837"/>
    <x v="837"/>
    <x v="0"/>
    <x v="7"/>
    <x v="0"/>
    <s v="No"/>
    <s v="Y"/>
    <n v="3"/>
    <n v="-2"/>
    <n v="0"/>
    <x v="32"/>
    <x v="1"/>
    <m/>
    <n v="0"/>
    <n v="1"/>
    <n v="593"/>
    <n v="9"/>
    <x v="2"/>
    <x v="0"/>
    <n v="2"/>
    <n v="88"/>
    <n v="3"/>
    <n v="3"/>
    <x v="2"/>
    <n v="13499"/>
    <n v="13782"/>
    <n v="9"/>
    <n v="17"/>
    <n v="3"/>
    <n v="3"/>
    <n v="80"/>
    <n v="0"/>
    <n v="20"/>
    <n v="2"/>
    <n v="18"/>
    <n v="7"/>
    <n v="2"/>
    <n v="13"/>
  </r>
  <r>
    <s v="Yes"/>
    <s v="Travel_Frequently"/>
    <x v="0"/>
    <s v="Ex-Employees"/>
    <x v="0"/>
    <x v="0"/>
    <x v="838"/>
    <x v="838"/>
    <x v="1"/>
    <x v="0"/>
    <x v="0"/>
    <s v="Yes"/>
    <s v="Y"/>
    <n v="2"/>
    <n v="-2"/>
    <n v="0"/>
    <x v="19"/>
    <x v="0"/>
    <n v="1"/>
    <n v="1"/>
    <n v="0"/>
    <n v="481"/>
    <n v="12"/>
    <x v="3"/>
    <x v="0"/>
    <n v="3"/>
    <n v="44"/>
    <n v="3"/>
    <n v="4"/>
    <x v="3"/>
    <n v="13758"/>
    <n v="2447"/>
    <n v="0"/>
    <n v="12"/>
    <n v="3"/>
    <n v="2"/>
    <n v="80"/>
    <n v="0"/>
    <n v="22"/>
    <n v="2"/>
    <n v="21"/>
    <n v="9"/>
    <n v="13"/>
    <n v="14"/>
  </r>
  <r>
    <s v="No"/>
    <s v="Travel_Rarely"/>
    <x v="0"/>
    <s v="Current Employees"/>
    <x v="0"/>
    <x v="3"/>
    <x v="839"/>
    <x v="839"/>
    <x v="1"/>
    <x v="0"/>
    <x v="0"/>
    <s v="No"/>
    <s v="Y"/>
    <n v="3"/>
    <n v="-2"/>
    <n v="0"/>
    <x v="19"/>
    <x v="1"/>
    <m/>
    <n v="0"/>
    <n v="1"/>
    <n v="647"/>
    <n v="4"/>
    <x v="2"/>
    <x v="0"/>
    <n v="2"/>
    <n v="45"/>
    <n v="3"/>
    <n v="2"/>
    <x v="1"/>
    <n v="5155"/>
    <n v="2253"/>
    <n v="7"/>
    <n v="13"/>
    <n v="3"/>
    <n v="4"/>
    <n v="80"/>
    <n v="0"/>
    <n v="9"/>
    <n v="4"/>
    <n v="6"/>
    <n v="4"/>
    <n v="1"/>
    <n v="5"/>
  </r>
  <r>
    <s v="No"/>
    <s v="Travel_Rarely"/>
    <x v="0"/>
    <s v="Current Employees"/>
    <x v="1"/>
    <x v="2"/>
    <x v="840"/>
    <x v="840"/>
    <x v="1"/>
    <x v="2"/>
    <x v="1"/>
    <s v="No"/>
    <s v="Y"/>
    <n v="2"/>
    <n v="-2"/>
    <n v="0"/>
    <x v="10"/>
    <x v="1"/>
    <m/>
    <n v="0"/>
    <n v="1"/>
    <n v="982"/>
    <n v="1"/>
    <x v="2"/>
    <x v="0"/>
    <n v="4"/>
    <n v="58"/>
    <n v="2"/>
    <n v="1"/>
    <x v="2"/>
    <n v="2258"/>
    <n v="16340"/>
    <n v="6"/>
    <n v="12"/>
    <n v="3"/>
    <n v="2"/>
    <n v="80"/>
    <n v="1"/>
    <n v="10"/>
    <n v="3"/>
    <n v="8"/>
    <n v="0"/>
    <n v="1"/>
    <n v="7"/>
  </r>
  <r>
    <s v="No"/>
    <s v="Travel_Rarely"/>
    <x v="4"/>
    <s v="Current Employees"/>
    <x v="1"/>
    <x v="2"/>
    <x v="841"/>
    <x v="841"/>
    <x v="1"/>
    <x v="2"/>
    <x v="0"/>
    <s v="No"/>
    <s v="Y"/>
    <n v="2"/>
    <n v="-2"/>
    <n v="0"/>
    <x v="17"/>
    <x v="1"/>
    <m/>
    <n v="0"/>
    <n v="1"/>
    <n v="477"/>
    <n v="24"/>
    <x v="3"/>
    <x v="0"/>
    <n v="4"/>
    <n v="49"/>
    <n v="3"/>
    <n v="1"/>
    <x v="1"/>
    <n v="3597"/>
    <n v="6409"/>
    <n v="8"/>
    <n v="22"/>
    <n v="4"/>
    <n v="4"/>
    <n v="80"/>
    <n v="0"/>
    <n v="6"/>
    <n v="3"/>
    <n v="4"/>
    <n v="3"/>
    <n v="1"/>
    <n v="2"/>
  </r>
  <r>
    <s v="Yes"/>
    <s v="Travel_Rarely"/>
    <x v="2"/>
    <s v="Ex-Employees"/>
    <x v="1"/>
    <x v="0"/>
    <x v="842"/>
    <x v="842"/>
    <x v="0"/>
    <x v="2"/>
    <x v="1"/>
    <s v="Yes"/>
    <s v="Y"/>
    <n v="4"/>
    <n v="-2"/>
    <n v="0"/>
    <x v="14"/>
    <x v="0"/>
    <n v="1"/>
    <n v="1"/>
    <n v="0"/>
    <n v="1485"/>
    <n v="12"/>
    <x v="1"/>
    <x v="0"/>
    <n v="3"/>
    <n v="79"/>
    <n v="3"/>
    <n v="1"/>
    <x v="3"/>
    <n v="2515"/>
    <n v="22955"/>
    <n v="1"/>
    <n v="11"/>
    <n v="3"/>
    <n v="4"/>
    <n v="80"/>
    <n v="0"/>
    <n v="1"/>
    <n v="2"/>
    <n v="1"/>
    <n v="1"/>
    <n v="0"/>
    <n v="0"/>
  </r>
  <r>
    <s v="No"/>
    <s v="Travel_Rarely"/>
    <x v="2"/>
    <s v="Current Employees"/>
    <x v="1"/>
    <x v="2"/>
    <x v="843"/>
    <x v="843"/>
    <x v="1"/>
    <x v="2"/>
    <x v="1"/>
    <s v="No"/>
    <s v="Y"/>
    <n v="2"/>
    <n v="-2"/>
    <n v="0"/>
    <x v="25"/>
    <x v="1"/>
    <m/>
    <n v="0"/>
    <n v="1"/>
    <n v="1384"/>
    <n v="3"/>
    <x v="2"/>
    <x v="0"/>
    <n v="1"/>
    <n v="82"/>
    <n v="4"/>
    <n v="1"/>
    <x v="0"/>
    <n v="4420"/>
    <n v="13421"/>
    <n v="1"/>
    <n v="22"/>
    <n v="4"/>
    <n v="2"/>
    <n v="80"/>
    <n v="1"/>
    <n v="8"/>
    <n v="3"/>
    <n v="8"/>
    <n v="7"/>
    <n v="0"/>
    <n v="7"/>
  </r>
  <r>
    <s v="No"/>
    <s v="Travel_Rarely"/>
    <x v="2"/>
    <s v="Current Employees"/>
    <x v="0"/>
    <x v="3"/>
    <x v="844"/>
    <x v="844"/>
    <x v="1"/>
    <x v="0"/>
    <x v="1"/>
    <s v="No"/>
    <s v="Y"/>
    <n v="3"/>
    <n v="-2"/>
    <n v="0"/>
    <x v="7"/>
    <x v="1"/>
    <m/>
    <n v="0"/>
    <n v="1"/>
    <n v="852"/>
    <n v="10"/>
    <x v="3"/>
    <x v="0"/>
    <n v="3"/>
    <n v="72"/>
    <n v="2"/>
    <n v="2"/>
    <x v="1"/>
    <n v="6578"/>
    <n v="2706"/>
    <n v="1"/>
    <n v="18"/>
    <n v="3"/>
    <n v="1"/>
    <n v="80"/>
    <n v="1"/>
    <n v="10"/>
    <n v="3"/>
    <n v="10"/>
    <n v="3"/>
    <n v="1"/>
    <n v="4"/>
  </r>
  <r>
    <s v="No"/>
    <s v="Travel_Frequently"/>
    <x v="0"/>
    <s v="Current Employees"/>
    <x v="1"/>
    <x v="2"/>
    <x v="845"/>
    <x v="845"/>
    <x v="0"/>
    <x v="1"/>
    <x v="1"/>
    <s v="Yes"/>
    <s v="Y"/>
    <n v="3"/>
    <n v="-2"/>
    <n v="0"/>
    <x v="32"/>
    <x v="1"/>
    <m/>
    <n v="0"/>
    <n v="1"/>
    <n v="902"/>
    <n v="26"/>
    <x v="0"/>
    <x v="0"/>
    <n v="3"/>
    <n v="92"/>
    <n v="2"/>
    <n v="2"/>
    <x v="0"/>
    <n v="4422"/>
    <n v="21203"/>
    <n v="3"/>
    <n v="13"/>
    <n v="3"/>
    <n v="4"/>
    <n v="80"/>
    <n v="1"/>
    <n v="16"/>
    <n v="1"/>
    <n v="1"/>
    <n v="1"/>
    <n v="0"/>
    <n v="0"/>
  </r>
  <r>
    <s v="No"/>
    <s v="Travel_Rarely"/>
    <x v="0"/>
    <s v="Current Employees"/>
    <x v="1"/>
    <x v="0"/>
    <x v="846"/>
    <x v="846"/>
    <x v="1"/>
    <x v="3"/>
    <x v="2"/>
    <s v="No"/>
    <s v="Y"/>
    <n v="2"/>
    <n v="-2"/>
    <n v="0"/>
    <x v="10"/>
    <x v="1"/>
    <m/>
    <n v="0"/>
    <n v="1"/>
    <n v="819"/>
    <n v="2"/>
    <x v="3"/>
    <x v="0"/>
    <n v="3"/>
    <n v="44"/>
    <n v="2"/>
    <n v="3"/>
    <x v="3"/>
    <n v="10274"/>
    <n v="19588"/>
    <n v="2"/>
    <n v="18"/>
    <n v="3"/>
    <n v="2"/>
    <n v="80"/>
    <n v="1"/>
    <n v="15"/>
    <n v="4"/>
    <n v="7"/>
    <n v="7"/>
    <n v="6"/>
    <n v="4"/>
  </r>
  <r>
    <s v="No"/>
    <s v="Travel_Frequently"/>
    <x v="2"/>
    <s v="Current Employees"/>
    <x v="1"/>
    <x v="2"/>
    <x v="847"/>
    <x v="847"/>
    <x v="1"/>
    <x v="4"/>
    <x v="0"/>
    <s v="No"/>
    <s v="Y"/>
    <n v="3"/>
    <n v="-2"/>
    <n v="0"/>
    <x v="13"/>
    <x v="1"/>
    <m/>
    <n v="0"/>
    <n v="1"/>
    <n v="669"/>
    <n v="1"/>
    <x v="3"/>
    <x v="0"/>
    <n v="4"/>
    <n v="97"/>
    <n v="2"/>
    <n v="2"/>
    <x v="2"/>
    <n v="5343"/>
    <n v="25755"/>
    <n v="0"/>
    <n v="20"/>
    <n v="4"/>
    <n v="3"/>
    <n v="80"/>
    <n v="0"/>
    <n v="14"/>
    <n v="3"/>
    <n v="13"/>
    <n v="9"/>
    <n v="4"/>
    <n v="9"/>
  </r>
  <r>
    <s v="No"/>
    <s v="Travel_Frequently"/>
    <x v="0"/>
    <s v="Current Employees"/>
    <x v="1"/>
    <x v="1"/>
    <x v="848"/>
    <x v="848"/>
    <x v="1"/>
    <x v="2"/>
    <x v="1"/>
    <s v="No"/>
    <s v="Y"/>
    <n v="2"/>
    <n v="-2"/>
    <n v="0"/>
    <x v="10"/>
    <x v="1"/>
    <m/>
    <n v="0"/>
    <n v="1"/>
    <n v="636"/>
    <n v="4"/>
    <x v="2"/>
    <x v="0"/>
    <n v="4"/>
    <n v="47"/>
    <n v="2"/>
    <n v="1"/>
    <x v="0"/>
    <n v="2376"/>
    <n v="26537"/>
    <n v="1"/>
    <n v="13"/>
    <n v="3"/>
    <n v="2"/>
    <n v="80"/>
    <n v="1"/>
    <n v="2"/>
    <n v="4"/>
    <n v="2"/>
    <n v="2"/>
    <n v="2"/>
    <n v="2"/>
  </r>
  <r>
    <s v="Yes"/>
    <s v="Travel_Rarely"/>
    <x v="0"/>
    <s v="Ex-Employees"/>
    <x v="0"/>
    <x v="3"/>
    <x v="849"/>
    <x v="849"/>
    <x v="0"/>
    <x v="0"/>
    <x v="0"/>
    <s v="No"/>
    <s v="Y"/>
    <n v="2"/>
    <n v="-2"/>
    <n v="0"/>
    <x v="23"/>
    <x v="0"/>
    <n v="1"/>
    <n v="1"/>
    <n v="0"/>
    <n v="1372"/>
    <n v="9"/>
    <x v="3"/>
    <x v="0"/>
    <n v="1"/>
    <n v="85"/>
    <n v="1"/>
    <n v="2"/>
    <x v="1"/>
    <n v="5346"/>
    <n v="9489"/>
    <n v="8"/>
    <n v="13"/>
    <n v="3"/>
    <n v="2"/>
    <n v="80"/>
    <n v="0"/>
    <n v="7"/>
    <n v="2"/>
    <n v="4"/>
    <n v="3"/>
    <n v="1"/>
    <n v="3"/>
  </r>
  <r>
    <s v="No"/>
    <s v="Non-Travel"/>
    <x v="2"/>
    <s v="Current Employees"/>
    <x v="0"/>
    <x v="0"/>
    <x v="850"/>
    <x v="850"/>
    <x v="0"/>
    <x v="6"/>
    <x v="2"/>
    <s v="No"/>
    <s v="Y"/>
    <n v="3"/>
    <n v="-2"/>
    <n v="0"/>
    <x v="5"/>
    <x v="1"/>
    <m/>
    <n v="0"/>
    <n v="1"/>
    <n v="862"/>
    <n v="2"/>
    <x v="1"/>
    <x v="0"/>
    <n v="3"/>
    <n v="76"/>
    <n v="3"/>
    <n v="1"/>
    <x v="3"/>
    <n v="2827"/>
    <n v="14947"/>
    <n v="1"/>
    <n v="12"/>
    <n v="3"/>
    <n v="3"/>
    <n v="80"/>
    <n v="3"/>
    <n v="1"/>
    <n v="3"/>
    <n v="1"/>
    <n v="0"/>
    <n v="0"/>
    <n v="0"/>
  </r>
  <r>
    <s v="No"/>
    <s v="Travel_Rarely"/>
    <x v="3"/>
    <s v="Current Employees"/>
    <x v="1"/>
    <x v="4"/>
    <x v="851"/>
    <x v="851"/>
    <x v="0"/>
    <x v="5"/>
    <x v="2"/>
    <s v="No"/>
    <s v="Y"/>
    <n v="2"/>
    <n v="-2"/>
    <n v="0"/>
    <x v="29"/>
    <x v="1"/>
    <m/>
    <n v="0"/>
    <n v="1"/>
    <n v="718"/>
    <n v="4"/>
    <x v="2"/>
    <x v="0"/>
    <n v="4"/>
    <n v="92"/>
    <n v="3"/>
    <n v="5"/>
    <x v="0"/>
    <n v="19943"/>
    <n v="18575"/>
    <n v="4"/>
    <n v="13"/>
    <n v="3"/>
    <n v="4"/>
    <n v="80"/>
    <n v="1"/>
    <n v="28"/>
    <n v="3"/>
    <n v="5"/>
    <n v="2"/>
    <n v="4"/>
    <n v="2"/>
  </r>
  <r>
    <s v="No"/>
    <s v="Travel_Rarely"/>
    <x v="2"/>
    <s v="Current Employees"/>
    <x v="1"/>
    <x v="2"/>
    <x v="852"/>
    <x v="852"/>
    <x v="0"/>
    <x v="2"/>
    <x v="1"/>
    <s v="No"/>
    <s v="Y"/>
    <n v="5"/>
    <n v="-2"/>
    <n v="0"/>
    <x v="11"/>
    <x v="1"/>
    <m/>
    <n v="0"/>
    <n v="1"/>
    <n v="1401"/>
    <n v="6"/>
    <x v="1"/>
    <x v="0"/>
    <n v="2"/>
    <n v="54"/>
    <n v="3"/>
    <n v="1"/>
    <x v="0"/>
    <n v="3131"/>
    <n v="26342"/>
    <n v="1"/>
    <n v="13"/>
    <n v="3"/>
    <n v="1"/>
    <n v="80"/>
    <n v="1"/>
    <n v="10"/>
    <n v="3"/>
    <n v="10"/>
    <n v="8"/>
    <n v="0"/>
    <n v="8"/>
  </r>
  <r>
    <s v="No"/>
    <s v="Travel_Rarely"/>
    <x v="4"/>
    <s v="Current Employees"/>
    <x v="1"/>
    <x v="0"/>
    <x v="853"/>
    <x v="853"/>
    <x v="1"/>
    <x v="1"/>
    <x v="0"/>
    <s v="No"/>
    <s v="Y"/>
    <n v="4"/>
    <n v="-2"/>
    <n v="0"/>
    <x v="37"/>
    <x v="1"/>
    <m/>
    <n v="0"/>
    <n v="1"/>
    <n v="645"/>
    <n v="9"/>
    <x v="0"/>
    <x v="0"/>
    <n v="3"/>
    <n v="54"/>
    <n v="3"/>
    <n v="1"/>
    <x v="3"/>
    <n v="2552"/>
    <n v="7172"/>
    <n v="1"/>
    <n v="25"/>
    <n v="4"/>
    <n v="3"/>
    <n v="80"/>
    <n v="0"/>
    <n v="1"/>
    <n v="3"/>
    <n v="1"/>
    <n v="1"/>
    <n v="0"/>
    <n v="0"/>
  </r>
  <r>
    <s v="No"/>
    <s v="Travel_Rarely"/>
    <x v="1"/>
    <s v="Current Employees"/>
    <x v="1"/>
    <x v="2"/>
    <x v="854"/>
    <x v="854"/>
    <x v="0"/>
    <x v="1"/>
    <x v="1"/>
    <s v="Yes"/>
    <s v="Y"/>
    <n v="2"/>
    <n v="-2"/>
    <n v="0"/>
    <x v="28"/>
    <x v="1"/>
    <m/>
    <n v="0"/>
    <n v="1"/>
    <n v="1457"/>
    <n v="7"/>
    <x v="3"/>
    <x v="0"/>
    <n v="1"/>
    <n v="83"/>
    <n v="3"/>
    <n v="1"/>
    <x v="2"/>
    <n v="4477"/>
    <n v="20100"/>
    <n v="4"/>
    <n v="19"/>
    <n v="3"/>
    <n v="3"/>
    <n v="80"/>
    <n v="1"/>
    <n v="7"/>
    <n v="2"/>
    <n v="3"/>
    <n v="2"/>
    <n v="0"/>
    <n v="2"/>
  </r>
  <r>
    <s v="No"/>
    <s v="Travel_Rarely"/>
    <x v="0"/>
    <s v="Current Employees"/>
    <x v="1"/>
    <x v="0"/>
    <x v="855"/>
    <x v="855"/>
    <x v="0"/>
    <x v="3"/>
    <x v="1"/>
    <s v="No"/>
    <s v="Y"/>
    <n v="2"/>
    <n v="-2"/>
    <n v="0"/>
    <x v="2"/>
    <x v="1"/>
    <m/>
    <n v="0"/>
    <n v="1"/>
    <n v="977"/>
    <n v="1"/>
    <x v="3"/>
    <x v="0"/>
    <n v="4"/>
    <n v="56"/>
    <n v="2"/>
    <n v="2"/>
    <x v="3"/>
    <n v="6474"/>
    <n v="9961"/>
    <n v="1"/>
    <n v="13"/>
    <n v="3"/>
    <n v="2"/>
    <n v="80"/>
    <n v="1"/>
    <n v="14"/>
    <n v="2"/>
    <n v="14"/>
    <n v="8"/>
    <n v="3"/>
    <n v="11"/>
  </r>
  <r>
    <s v="No"/>
    <s v="Travel_Rarely"/>
    <x v="4"/>
    <s v="Current Employees"/>
    <x v="1"/>
    <x v="0"/>
    <x v="856"/>
    <x v="856"/>
    <x v="1"/>
    <x v="2"/>
    <x v="0"/>
    <s v="No"/>
    <s v="Y"/>
    <n v="2"/>
    <n v="-2"/>
    <n v="0"/>
    <x v="35"/>
    <x v="1"/>
    <m/>
    <n v="0"/>
    <n v="1"/>
    <n v="805"/>
    <n v="3"/>
    <x v="3"/>
    <x v="0"/>
    <n v="1"/>
    <n v="87"/>
    <n v="2"/>
    <n v="1"/>
    <x v="3"/>
    <n v="3033"/>
    <n v="12828"/>
    <n v="1"/>
    <n v="12"/>
    <n v="3"/>
    <n v="1"/>
    <n v="80"/>
    <n v="0"/>
    <n v="2"/>
    <n v="2"/>
    <n v="2"/>
    <n v="2"/>
    <n v="1"/>
    <n v="2"/>
  </r>
  <r>
    <s v="Yes"/>
    <s v="Travel_Rarely"/>
    <x v="0"/>
    <s v="Ex-Employees"/>
    <x v="1"/>
    <x v="0"/>
    <x v="857"/>
    <x v="857"/>
    <x v="1"/>
    <x v="1"/>
    <x v="0"/>
    <s v="Yes"/>
    <s v="Y"/>
    <n v="4"/>
    <n v="-2"/>
    <n v="0"/>
    <x v="20"/>
    <x v="0"/>
    <n v="1"/>
    <n v="1"/>
    <n v="0"/>
    <n v="1097"/>
    <n v="10"/>
    <x v="2"/>
    <x v="0"/>
    <n v="3"/>
    <n v="96"/>
    <n v="3"/>
    <n v="1"/>
    <x v="3"/>
    <n v="2936"/>
    <n v="10826"/>
    <n v="1"/>
    <n v="11"/>
    <n v="3"/>
    <n v="3"/>
    <n v="80"/>
    <n v="0"/>
    <n v="6"/>
    <n v="3"/>
    <n v="6"/>
    <n v="4"/>
    <n v="0"/>
    <n v="2"/>
  </r>
  <r>
    <s v="No"/>
    <s v="Travel_Rarely"/>
    <x v="1"/>
    <s v="Current Employees"/>
    <x v="1"/>
    <x v="2"/>
    <x v="858"/>
    <x v="858"/>
    <x v="0"/>
    <x v="5"/>
    <x v="2"/>
    <s v="No"/>
    <s v="Y"/>
    <n v="6"/>
    <n v="-2"/>
    <n v="0"/>
    <x v="16"/>
    <x v="1"/>
    <m/>
    <n v="0"/>
    <n v="1"/>
    <n v="1223"/>
    <n v="7"/>
    <x v="0"/>
    <x v="0"/>
    <n v="4"/>
    <n v="50"/>
    <n v="3"/>
    <n v="5"/>
    <x v="2"/>
    <n v="18606"/>
    <n v="18640"/>
    <n v="3"/>
    <n v="18"/>
    <n v="3"/>
    <n v="2"/>
    <n v="80"/>
    <n v="1"/>
    <n v="26"/>
    <n v="3"/>
    <n v="7"/>
    <n v="7"/>
    <n v="4"/>
    <n v="7"/>
  </r>
  <r>
    <s v="No"/>
    <s v="Travel_Rarely"/>
    <x v="2"/>
    <s v="Current Employees"/>
    <x v="1"/>
    <x v="0"/>
    <x v="859"/>
    <x v="859"/>
    <x v="0"/>
    <x v="1"/>
    <x v="1"/>
    <s v="Yes"/>
    <s v="Y"/>
    <n v="2"/>
    <n v="-2"/>
    <n v="0"/>
    <x v="11"/>
    <x v="1"/>
    <m/>
    <n v="0"/>
    <n v="1"/>
    <n v="942"/>
    <n v="15"/>
    <x v="1"/>
    <x v="0"/>
    <n v="2"/>
    <n v="69"/>
    <n v="1"/>
    <n v="1"/>
    <x v="3"/>
    <n v="2168"/>
    <n v="26933"/>
    <n v="0"/>
    <n v="18"/>
    <n v="3"/>
    <n v="1"/>
    <n v="80"/>
    <n v="1"/>
    <n v="6"/>
    <n v="2"/>
    <n v="5"/>
    <n v="4"/>
    <n v="1"/>
    <n v="3"/>
  </r>
  <r>
    <s v="Yes"/>
    <s v="Travel_Frequently"/>
    <x v="4"/>
    <s v="Ex-Employees"/>
    <x v="1"/>
    <x v="0"/>
    <x v="860"/>
    <x v="860"/>
    <x v="1"/>
    <x v="1"/>
    <x v="1"/>
    <s v="Yes"/>
    <s v="Y"/>
    <n v="5"/>
    <n v="-2"/>
    <n v="0"/>
    <x v="15"/>
    <x v="0"/>
    <n v="1"/>
    <n v="1"/>
    <n v="0"/>
    <n v="1256"/>
    <n v="3"/>
    <x v="2"/>
    <x v="0"/>
    <n v="3"/>
    <n v="48"/>
    <n v="2"/>
    <n v="1"/>
    <x v="3"/>
    <n v="2853"/>
    <n v="4223"/>
    <n v="0"/>
    <n v="11"/>
    <n v="3"/>
    <n v="2"/>
    <n v="80"/>
    <n v="1"/>
    <n v="1"/>
    <n v="3"/>
    <n v="0"/>
    <n v="0"/>
    <n v="0"/>
    <n v="0"/>
  </r>
  <r>
    <s v="No"/>
    <s v="Travel_Rarely"/>
    <x v="1"/>
    <s v="Current Employees"/>
    <x v="0"/>
    <x v="3"/>
    <x v="861"/>
    <x v="861"/>
    <x v="0"/>
    <x v="5"/>
    <x v="1"/>
    <s v="No"/>
    <s v="Y"/>
    <n v="2"/>
    <n v="-2"/>
    <n v="0"/>
    <x v="21"/>
    <x v="1"/>
    <m/>
    <n v="0"/>
    <n v="1"/>
    <n v="1402"/>
    <n v="2"/>
    <x v="3"/>
    <x v="0"/>
    <n v="3"/>
    <n v="69"/>
    <n v="3"/>
    <n v="4"/>
    <x v="1"/>
    <n v="17048"/>
    <n v="24097"/>
    <n v="8"/>
    <n v="23"/>
    <n v="4"/>
    <n v="1"/>
    <n v="80"/>
    <n v="0"/>
    <n v="28"/>
    <n v="3"/>
    <n v="26"/>
    <n v="15"/>
    <n v="15"/>
    <n v="9"/>
  </r>
  <r>
    <s v="No"/>
    <s v="Non-Travel"/>
    <x v="0"/>
    <s v="Current Employees"/>
    <x v="1"/>
    <x v="0"/>
    <x v="862"/>
    <x v="862"/>
    <x v="1"/>
    <x v="1"/>
    <x v="0"/>
    <s v="No"/>
    <s v="Y"/>
    <n v="3"/>
    <n v="-2"/>
    <n v="0"/>
    <x v="20"/>
    <x v="1"/>
    <m/>
    <n v="0"/>
    <n v="1"/>
    <n v="111"/>
    <n v="17"/>
    <x v="3"/>
    <x v="0"/>
    <n v="4"/>
    <n v="74"/>
    <n v="1"/>
    <n v="1"/>
    <x v="3"/>
    <n v="2290"/>
    <n v="4279"/>
    <n v="2"/>
    <n v="13"/>
    <n v="3"/>
    <n v="4"/>
    <n v="80"/>
    <n v="0"/>
    <n v="6"/>
    <n v="3"/>
    <n v="0"/>
    <n v="0"/>
    <n v="0"/>
    <n v="0"/>
  </r>
  <r>
    <s v="No"/>
    <s v="Travel_Rarely"/>
    <x v="2"/>
    <s v="Current Employees"/>
    <x v="2"/>
    <x v="5"/>
    <x v="863"/>
    <x v="863"/>
    <x v="1"/>
    <x v="8"/>
    <x v="1"/>
    <s v="No"/>
    <s v="Y"/>
    <n v="2"/>
    <n v="-2"/>
    <n v="0"/>
    <x v="3"/>
    <x v="1"/>
    <m/>
    <n v="0"/>
    <n v="1"/>
    <n v="147"/>
    <n v="2"/>
    <x v="3"/>
    <x v="0"/>
    <n v="2"/>
    <n v="99"/>
    <n v="3"/>
    <n v="1"/>
    <x v="2"/>
    <n v="3600"/>
    <n v="8429"/>
    <n v="1"/>
    <n v="13"/>
    <n v="3"/>
    <n v="4"/>
    <n v="80"/>
    <n v="1"/>
    <n v="5"/>
    <n v="3"/>
    <n v="5"/>
    <n v="4"/>
    <n v="1"/>
    <n v="4"/>
  </r>
  <r>
    <s v="Yes"/>
    <s v="Non-Travel"/>
    <x v="0"/>
    <s v="Ex-Employees"/>
    <x v="1"/>
    <x v="0"/>
    <x v="864"/>
    <x v="864"/>
    <x v="1"/>
    <x v="1"/>
    <x v="2"/>
    <s v="No"/>
    <s v="Y"/>
    <n v="2"/>
    <n v="-2"/>
    <n v="0"/>
    <x v="0"/>
    <x v="0"/>
    <n v="1"/>
    <n v="1"/>
    <n v="0"/>
    <n v="906"/>
    <n v="5"/>
    <x v="0"/>
    <x v="0"/>
    <n v="1"/>
    <n v="95"/>
    <n v="2"/>
    <n v="1"/>
    <x v="3"/>
    <n v="2107"/>
    <n v="20293"/>
    <n v="6"/>
    <n v="17"/>
    <n v="3"/>
    <n v="1"/>
    <n v="80"/>
    <n v="1"/>
    <n v="5"/>
    <n v="1"/>
    <n v="1"/>
    <n v="0"/>
    <n v="0"/>
    <n v="0"/>
  </r>
  <r>
    <s v="No"/>
    <s v="Travel_Rarely"/>
    <x v="2"/>
    <s v="Current Employees"/>
    <x v="0"/>
    <x v="0"/>
    <x v="865"/>
    <x v="865"/>
    <x v="1"/>
    <x v="0"/>
    <x v="2"/>
    <s v="No"/>
    <s v="Y"/>
    <n v="3"/>
    <n v="-2"/>
    <n v="0"/>
    <x v="7"/>
    <x v="1"/>
    <m/>
    <n v="0"/>
    <n v="1"/>
    <n v="1329"/>
    <n v="29"/>
    <x v="2"/>
    <x v="0"/>
    <n v="3"/>
    <n v="61"/>
    <n v="3"/>
    <n v="2"/>
    <x v="3"/>
    <n v="4115"/>
    <n v="13192"/>
    <n v="8"/>
    <n v="19"/>
    <n v="3"/>
    <n v="3"/>
    <n v="80"/>
    <n v="3"/>
    <n v="8"/>
    <n v="3"/>
    <n v="4"/>
    <n v="3"/>
    <n v="0"/>
    <n v="3"/>
  </r>
  <r>
    <s v="No"/>
    <s v="Travel_Frequently"/>
    <x v="0"/>
    <s v="Current Employees"/>
    <x v="0"/>
    <x v="2"/>
    <x v="866"/>
    <x v="866"/>
    <x v="1"/>
    <x v="0"/>
    <x v="1"/>
    <s v="No"/>
    <s v="Y"/>
    <n v="2"/>
    <n v="-2"/>
    <n v="0"/>
    <x v="32"/>
    <x v="1"/>
    <m/>
    <n v="0"/>
    <n v="1"/>
    <n v="1184"/>
    <n v="2"/>
    <x v="2"/>
    <x v="0"/>
    <n v="2"/>
    <n v="62"/>
    <n v="3"/>
    <n v="2"/>
    <x v="1"/>
    <n v="4327"/>
    <n v="25440"/>
    <n v="5"/>
    <n v="12"/>
    <n v="3"/>
    <n v="4"/>
    <n v="80"/>
    <n v="3"/>
    <n v="5"/>
    <n v="3"/>
    <n v="0"/>
    <n v="0"/>
    <n v="0"/>
    <n v="0"/>
  </r>
  <r>
    <s v="No"/>
    <s v="Travel_Frequently"/>
    <x v="1"/>
    <s v="Current Employees"/>
    <x v="1"/>
    <x v="2"/>
    <x v="867"/>
    <x v="867"/>
    <x v="0"/>
    <x v="5"/>
    <x v="1"/>
    <s v="No"/>
    <s v="Y"/>
    <n v="3"/>
    <n v="-2"/>
    <n v="0"/>
    <x v="24"/>
    <x v="1"/>
    <m/>
    <n v="0"/>
    <n v="1"/>
    <n v="1421"/>
    <n v="2"/>
    <x v="3"/>
    <x v="0"/>
    <n v="4"/>
    <n v="30"/>
    <n v="3"/>
    <n v="4"/>
    <x v="2"/>
    <n v="17856"/>
    <n v="9490"/>
    <n v="2"/>
    <n v="22"/>
    <n v="4"/>
    <n v="3"/>
    <n v="80"/>
    <n v="1"/>
    <n v="32"/>
    <n v="3"/>
    <n v="2"/>
    <n v="2"/>
    <n v="2"/>
    <n v="2"/>
  </r>
  <r>
    <s v="No"/>
    <s v="Travel_Rarely"/>
    <x v="2"/>
    <s v="Current Employees"/>
    <x v="1"/>
    <x v="2"/>
    <x v="868"/>
    <x v="868"/>
    <x v="1"/>
    <x v="2"/>
    <x v="1"/>
    <s v="No"/>
    <s v="Y"/>
    <n v="2"/>
    <n v="-2"/>
    <n v="0"/>
    <x v="14"/>
    <x v="1"/>
    <m/>
    <n v="0"/>
    <n v="1"/>
    <n v="1179"/>
    <n v="19"/>
    <x v="2"/>
    <x v="0"/>
    <n v="4"/>
    <n v="78"/>
    <n v="2"/>
    <n v="1"/>
    <x v="2"/>
    <n v="3196"/>
    <n v="12449"/>
    <n v="1"/>
    <n v="12"/>
    <n v="3"/>
    <n v="3"/>
    <n v="80"/>
    <n v="3"/>
    <n v="6"/>
    <n v="3"/>
    <n v="6"/>
    <n v="5"/>
    <n v="3"/>
    <n v="3"/>
  </r>
  <r>
    <s v="No"/>
    <s v="Travel_Rarely"/>
    <x v="1"/>
    <s v="Current Employees"/>
    <x v="1"/>
    <x v="0"/>
    <x v="869"/>
    <x v="869"/>
    <x v="1"/>
    <x v="7"/>
    <x v="1"/>
    <s v="No"/>
    <s v="Y"/>
    <n v="2"/>
    <n v="-2"/>
    <n v="0"/>
    <x v="21"/>
    <x v="1"/>
    <m/>
    <n v="0"/>
    <n v="1"/>
    <n v="1450"/>
    <n v="15"/>
    <x v="0"/>
    <x v="0"/>
    <n v="4"/>
    <n v="52"/>
    <n v="3"/>
    <n v="5"/>
    <x v="3"/>
    <n v="19081"/>
    <n v="10849"/>
    <n v="5"/>
    <n v="11"/>
    <n v="3"/>
    <n v="1"/>
    <n v="80"/>
    <n v="1"/>
    <n v="25"/>
    <n v="3"/>
    <n v="4"/>
    <n v="2"/>
    <n v="0"/>
    <n v="3"/>
  </r>
  <r>
    <s v="No"/>
    <s v="Travel_Rarely"/>
    <x v="0"/>
    <s v="Current Employees"/>
    <x v="0"/>
    <x v="0"/>
    <x v="870"/>
    <x v="870"/>
    <x v="1"/>
    <x v="0"/>
    <x v="1"/>
    <s v="Yes"/>
    <s v="Y"/>
    <n v="2"/>
    <n v="-2"/>
    <n v="0"/>
    <x v="10"/>
    <x v="1"/>
    <m/>
    <n v="0"/>
    <n v="1"/>
    <n v="1361"/>
    <n v="17"/>
    <x v="2"/>
    <x v="0"/>
    <n v="3"/>
    <n v="94"/>
    <n v="3"/>
    <n v="2"/>
    <x v="3"/>
    <n v="8966"/>
    <n v="21026"/>
    <n v="3"/>
    <n v="15"/>
    <n v="3"/>
    <n v="4"/>
    <n v="80"/>
    <n v="3"/>
    <n v="15"/>
    <n v="3"/>
    <n v="7"/>
    <n v="7"/>
    <n v="1"/>
    <n v="7"/>
  </r>
  <r>
    <s v="Yes"/>
    <s v="Travel_Rarely"/>
    <x v="4"/>
    <s v="Ex-Employees"/>
    <x v="1"/>
    <x v="0"/>
    <x v="871"/>
    <x v="871"/>
    <x v="0"/>
    <x v="2"/>
    <x v="1"/>
    <s v="No"/>
    <s v="Y"/>
    <n v="3"/>
    <n v="-2"/>
    <n v="0"/>
    <x v="17"/>
    <x v="0"/>
    <n v="1"/>
    <n v="1"/>
    <n v="0"/>
    <n v="984"/>
    <n v="17"/>
    <x v="0"/>
    <x v="0"/>
    <n v="4"/>
    <n v="97"/>
    <n v="3"/>
    <n v="1"/>
    <x v="3"/>
    <n v="2210"/>
    <n v="3372"/>
    <n v="1"/>
    <n v="13"/>
    <n v="3"/>
    <n v="1"/>
    <n v="80"/>
    <n v="1"/>
    <n v="1"/>
    <n v="1"/>
    <n v="1"/>
    <n v="0"/>
    <n v="0"/>
    <n v="0"/>
  </r>
  <r>
    <s v="No"/>
    <s v="Travel_Frequently"/>
    <x v="2"/>
    <s v="Current Employees"/>
    <x v="0"/>
    <x v="2"/>
    <x v="872"/>
    <x v="872"/>
    <x v="0"/>
    <x v="0"/>
    <x v="1"/>
    <s v="No"/>
    <s v="Y"/>
    <n v="3"/>
    <n v="-2"/>
    <n v="0"/>
    <x v="3"/>
    <x v="1"/>
    <m/>
    <n v="0"/>
    <n v="1"/>
    <n v="1146"/>
    <n v="25"/>
    <x v="3"/>
    <x v="0"/>
    <n v="2"/>
    <n v="82"/>
    <n v="3"/>
    <n v="2"/>
    <x v="2"/>
    <n v="4539"/>
    <n v="4905"/>
    <n v="1"/>
    <n v="12"/>
    <n v="3"/>
    <n v="1"/>
    <n v="80"/>
    <n v="1"/>
    <n v="10"/>
    <n v="2"/>
    <n v="10"/>
    <n v="7"/>
    <n v="0"/>
    <n v="1"/>
  </r>
  <r>
    <s v="No"/>
    <s v="Travel_Rarely"/>
    <x v="0"/>
    <s v="Current Employees"/>
    <x v="1"/>
    <x v="0"/>
    <x v="873"/>
    <x v="873"/>
    <x v="1"/>
    <x v="2"/>
    <x v="2"/>
    <s v="No"/>
    <s v="Y"/>
    <n v="4"/>
    <n v="-2"/>
    <n v="0"/>
    <x v="9"/>
    <x v="1"/>
    <m/>
    <n v="0"/>
    <n v="1"/>
    <n v="917"/>
    <n v="6"/>
    <x v="2"/>
    <x v="0"/>
    <n v="3"/>
    <n v="60"/>
    <n v="1"/>
    <n v="1"/>
    <x v="3"/>
    <n v="2741"/>
    <n v="6865"/>
    <n v="1"/>
    <n v="14"/>
    <n v="3"/>
    <n v="3"/>
    <n v="80"/>
    <n v="1"/>
    <n v="7"/>
    <n v="3"/>
    <n v="7"/>
    <n v="7"/>
    <n v="1"/>
    <n v="7"/>
  </r>
  <r>
    <s v="No"/>
    <s v="Travel_Rarely"/>
    <x v="2"/>
    <s v="Current Employees"/>
    <x v="1"/>
    <x v="0"/>
    <x v="874"/>
    <x v="874"/>
    <x v="1"/>
    <x v="2"/>
    <x v="2"/>
    <s v="No"/>
    <s v="Y"/>
    <n v="4"/>
    <n v="-2"/>
    <n v="0"/>
    <x v="7"/>
    <x v="1"/>
    <m/>
    <n v="0"/>
    <n v="1"/>
    <n v="853"/>
    <n v="7"/>
    <x v="2"/>
    <x v="0"/>
    <n v="3"/>
    <n v="49"/>
    <n v="3"/>
    <n v="2"/>
    <x v="3"/>
    <n v="3491"/>
    <n v="11309"/>
    <n v="1"/>
    <n v="13"/>
    <n v="3"/>
    <n v="1"/>
    <n v="80"/>
    <n v="3"/>
    <n v="10"/>
    <n v="2"/>
    <n v="10"/>
    <n v="7"/>
    <n v="8"/>
    <n v="9"/>
  </r>
  <r>
    <s v="No"/>
    <s v="Travel_Rarely"/>
    <x v="0"/>
    <s v="Current Employees"/>
    <x v="1"/>
    <x v="1"/>
    <x v="875"/>
    <x v="875"/>
    <x v="1"/>
    <x v="1"/>
    <x v="0"/>
    <s v="No"/>
    <s v="Y"/>
    <n v="3"/>
    <n v="-2"/>
    <n v="0"/>
    <x v="20"/>
    <x v="1"/>
    <m/>
    <n v="0"/>
    <n v="1"/>
    <n v="200"/>
    <n v="29"/>
    <x v="2"/>
    <x v="0"/>
    <n v="4"/>
    <n v="32"/>
    <n v="3"/>
    <n v="2"/>
    <x v="0"/>
    <n v="4541"/>
    <n v="7744"/>
    <n v="1"/>
    <n v="25"/>
    <n v="4"/>
    <n v="2"/>
    <n v="80"/>
    <n v="0"/>
    <n v="20"/>
    <n v="3"/>
    <n v="20"/>
    <n v="11"/>
    <n v="13"/>
    <n v="17"/>
  </r>
  <r>
    <s v="No"/>
    <s v="Travel_Rarely"/>
    <x v="4"/>
    <s v="Current Employees"/>
    <x v="0"/>
    <x v="3"/>
    <x v="876"/>
    <x v="876"/>
    <x v="1"/>
    <x v="6"/>
    <x v="0"/>
    <s v="No"/>
    <s v="Y"/>
    <n v="2"/>
    <n v="-2"/>
    <n v="0"/>
    <x v="35"/>
    <x v="1"/>
    <m/>
    <n v="0"/>
    <n v="1"/>
    <n v="654"/>
    <n v="21"/>
    <x v="3"/>
    <x v="0"/>
    <n v="3"/>
    <n v="43"/>
    <n v="4"/>
    <n v="1"/>
    <x v="1"/>
    <n v="2678"/>
    <n v="5050"/>
    <n v="1"/>
    <n v="17"/>
    <n v="3"/>
    <n v="4"/>
    <n v="80"/>
    <n v="0"/>
    <n v="2"/>
    <n v="3"/>
    <n v="2"/>
    <n v="1"/>
    <n v="2"/>
    <n v="2"/>
  </r>
  <r>
    <s v="No"/>
    <s v="Travel_Rarely"/>
    <x v="1"/>
    <s v="Current Employees"/>
    <x v="1"/>
    <x v="4"/>
    <x v="877"/>
    <x v="877"/>
    <x v="1"/>
    <x v="3"/>
    <x v="2"/>
    <s v="No"/>
    <s v="Y"/>
    <n v="3"/>
    <n v="-2"/>
    <n v="0"/>
    <x v="21"/>
    <x v="1"/>
    <m/>
    <n v="0"/>
    <n v="1"/>
    <n v="150"/>
    <n v="2"/>
    <x v="2"/>
    <x v="0"/>
    <n v="4"/>
    <n v="60"/>
    <n v="3"/>
    <n v="2"/>
    <x v="0"/>
    <n v="7379"/>
    <n v="17433"/>
    <n v="2"/>
    <n v="11"/>
    <n v="3"/>
    <n v="3"/>
    <n v="80"/>
    <n v="1"/>
    <n v="12"/>
    <n v="2"/>
    <n v="6"/>
    <n v="3"/>
    <n v="1"/>
    <n v="4"/>
  </r>
  <r>
    <s v="No"/>
    <s v="Non-Travel"/>
    <x v="0"/>
    <s v="Current Employees"/>
    <x v="2"/>
    <x v="2"/>
    <x v="878"/>
    <x v="878"/>
    <x v="1"/>
    <x v="8"/>
    <x v="1"/>
    <s v="No"/>
    <s v="Y"/>
    <n v="3"/>
    <n v="-2"/>
    <n v="0"/>
    <x v="19"/>
    <x v="1"/>
    <m/>
    <n v="0"/>
    <n v="1"/>
    <n v="179"/>
    <n v="2"/>
    <x v="4"/>
    <x v="0"/>
    <n v="4"/>
    <n v="79"/>
    <n v="4"/>
    <n v="2"/>
    <x v="2"/>
    <n v="6272"/>
    <n v="12858"/>
    <n v="7"/>
    <n v="16"/>
    <n v="3"/>
    <n v="1"/>
    <n v="80"/>
    <n v="1"/>
    <n v="10"/>
    <n v="4"/>
    <n v="4"/>
    <n v="3"/>
    <n v="0"/>
    <n v="3"/>
  </r>
  <r>
    <s v="No"/>
    <s v="Travel_Rarely"/>
    <x v="3"/>
    <s v="Current Employees"/>
    <x v="0"/>
    <x v="3"/>
    <x v="879"/>
    <x v="879"/>
    <x v="1"/>
    <x v="0"/>
    <x v="2"/>
    <s v="Yes"/>
    <s v="Y"/>
    <n v="3"/>
    <n v="-2"/>
    <n v="0"/>
    <x v="42"/>
    <x v="1"/>
    <m/>
    <n v="0"/>
    <n v="1"/>
    <n v="696"/>
    <n v="7"/>
    <x v="2"/>
    <x v="0"/>
    <n v="2"/>
    <n v="52"/>
    <n v="4"/>
    <n v="2"/>
    <x v="1"/>
    <n v="5220"/>
    <n v="10893"/>
    <n v="0"/>
    <n v="18"/>
    <n v="3"/>
    <n v="2"/>
    <n v="80"/>
    <n v="1"/>
    <n v="12"/>
    <n v="3"/>
    <n v="11"/>
    <n v="7"/>
    <n v="1"/>
    <n v="9"/>
  </r>
  <r>
    <s v="No"/>
    <s v="Travel_Frequently"/>
    <x v="2"/>
    <s v="Current Employees"/>
    <x v="1"/>
    <x v="1"/>
    <x v="880"/>
    <x v="880"/>
    <x v="0"/>
    <x v="2"/>
    <x v="1"/>
    <s v="No"/>
    <s v="Y"/>
    <n v="2"/>
    <n v="-2"/>
    <n v="0"/>
    <x v="5"/>
    <x v="1"/>
    <m/>
    <n v="0"/>
    <n v="1"/>
    <n v="116"/>
    <n v="13"/>
    <x v="3"/>
    <x v="0"/>
    <n v="3"/>
    <n v="77"/>
    <n v="2"/>
    <n v="1"/>
    <x v="1"/>
    <n v="2743"/>
    <n v="7331"/>
    <n v="1"/>
    <n v="20"/>
    <n v="4"/>
    <n v="3"/>
    <n v="80"/>
    <n v="1"/>
    <n v="2"/>
    <n v="3"/>
    <n v="2"/>
    <n v="2"/>
    <n v="2"/>
    <n v="2"/>
  </r>
  <r>
    <s v="No"/>
    <s v="Travel_Frequently"/>
    <x v="2"/>
    <s v="Current Employees"/>
    <x v="1"/>
    <x v="0"/>
    <x v="881"/>
    <x v="881"/>
    <x v="0"/>
    <x v="1"/>
    <x v="0"/>
    <s v="Yes"/>
    <s v="Y"/>
    <n v="2"/>
    <n v="-2"/>
    <n v="0"/>
    <x v="5"/>
    <x v="1"/>
    <m/>
    <n v="0"/>
    <n v="1"/>
    <n v="1316"/>
    <n v="2"/>
    <x v="0"/>
    <x v="0"/>
    <n v="4"/>
    <n v="38"/>
    <n v="3"/>
    <n v="2"/>
    <x v="3"/>
    <n v="4998"/>
    <n v="2338"/>
    <n v="4"/>
    <n v="14"/>
    <n v="3"/>
    <n v="4"/>
    <n v="80"/>
    <n v="0"/>
    <n v="10"/>
    <n v="3"/>
    <n v="8"/>
    <n v="7"/>
    <n v="0"/>
    <n v="7"/>
  </r>
  <r>
    <s v="No"/>
    <s v="Travel_Rarely"/>
    <x v="0"/>
    <s v="Current Employees"/>
    <x v="1"/>
    <x v="4"/>
    <x v="882"/>
    <x v="882"/>
    <x v="0"/>
    <x v="3"/>
    <x v="2"/>
    <s v="Yes"/>
    <s v="Y"/>
    <n v="2"/>
    <n v="-2"/>
    <n v="0"/>
    <x v="9"/>
    <x v="1"/>
    <m/>
    <n v="0"/>
    <n v="1"/>
    <n v="363"/>
    <n v="1"/>
    <x v="3"/>
    <x v="0"/>
    <n v="4"/>
    <n v="77"/>
    <n v="1"/>
    <n v="3"/>
    <x v="0"/>
    <n v="10252"/>
    <n v="4235"/>
    <n v="2"/>
    <n v="21"/>
    <n v="4"/>
    <n v="3"/>
    <n v="80"/>
    <n v="1"/>
    <n v="17"/>
    <n v="3"/>
    <n v="7"/>
    <n v="7"/>
    <n v="7"/>
    <n v="7"/>
  </r>
  <r>
    <s v="No"/>
    <s v="Travel_Rarely"/>
    <x v="2"/>
    <s v="Current Employees"/>
    <x v="1"/>
    <x v="2"/>
    <x v="883"/>
    <x v="883"/>
    <x v="1"/>
    <x v="1"/>
    <x v="1"/>
    <s v="No"/>
    <s v="Y"/>
    <n v="5"/>
    <n v="-2"/>
    <n v="0"/>
    <x v="3"/>
    <x v="1"/>
    <m/>
    <n v="0"/>
    <n v="1"/>
    <n v="117"/>
    <n v="9"/>
    <x v="3"/>
    <x v="0"/>
    <n v="1"/>
    <n v="60"/>
    <n v="3"/>
    <n v="1"/>
    <x v="0"/>
    <n v="2781"/>
    <n v="6311"/>
    <n v="0"/>
    <n v="13"/>
    <n v="3"/>
    <n v="2"/>
    <n v="80"/>
    <n v="1"/>
    <n v="15"/>
    <n v="3"/>
    <n v="14"/>
    <n v="10"/>
    <n v="4"/>
    <n v="10"/>
  </r>
  <r>
    <s v="No"/>
    <s v="Travel_Rarely"/>
    <x v="0"/>
    <s v="Current Employees"/>
    <x v="0"/>
    <x v="4"/>
    <x v="884"/>
    <x v="884"/>
    <x v="0"/>
    <x v="0"/>
    <x v="2"/>
    <s v="No"/>
    <s v="Y"/>
    <n v="2"/>
    <n v="-2"/>
    <n v="0"/>
    <x v="32"/>
    <x v="1"/>
    <m/>
    <n v="0"/>
    <n v="1"/>
    <n v="107"/>
    <n v="10"/>
    <x v="3"/>
    <x v="0"/>
    <n v="4"/>
    <n v="84"/>
    <n v="2"/>
    <n v="2"/>
    <x v="0"/>
    <n v="6852"/>
    <n v="11591"/>
    <n v="7"/>
    <n v="12"/>
    <n v="3"/>
    <n v="2"/>
    <n v="80"/>
    <n v="1"/>
    <n v="7"/>
    <n v="4"/>
    <n v="5"/>
    <n v="1"/>
    <n v="1"/>
    <n v="3"/>
  </r>
  <r>
    <s v="No"/>
    <s v="Travel_Rarely"/>
    <x v="2"/>
    <s v="Current Employees"/>
    <x v="0"/>
    <x v="0"/>
    <x v="885"/>
    <x v="885"/>
    <x v="1"/>
    <x v="0"/>
    <x v="0"/>
    <s v="No"/>
    <s v="Y"/>
    <n v="4"/>
    <n v="-2"/>
    <n v="0"/>
    <x v="36"/>
    <x v="1"/>
    <m/>
    <n v="0"/>
    <n v="1"/>
    <n v="1356"/>
    <n v="10"/>
    <x v="2"/>
    <x v="0"/>
    <n v="3"/>
    <n v="57"/>
    <n v="3"/>
    <n v="2"/>
    <x v="3"/>
    <n v="4950"/>
    <n v="20623"/>
    <n v="0"/>
    <n v="14"/>
    <n v="3"/>
    <n v="2"/>
    <n v="80"/>
    <n v="0"/>
    <n v="5"/>
    <n v="3"/>
    <n v="4"/>
    <n v="3"/>
    <n v="1"/>
    <n v="1"/>
  </r>
  <r>
    <s v="No"/>
    <s v="Travel_Rarely"/>
    <x v="2"/>
    <s v="Current Employees"/>
    <x v="1"/>
    <x v="2"/>
    <x v="886"/>
    <x v="886"/>
    <x v="1"/>
    <x v="1"/>
    <x v="1"/>
    <s v="Yes"/>
    <s v="Y"/>
    <n v="2"/>
    <n v="-2"/>
    <n v="0"/>
    <x v="7"/>
    <x v="1"/>
    <m/>
    <n v="0"/>
    <n v="1"/>
    <n v="1465"/>
    <n v="1"/>
    <x v="3"/>
    <x v="0"/>
    <n v="4"/>
    <n v="63"/>
    <n v="3"/>
    <n v="1"/>
    <x v="1"/>
    <n v="3579"/>
    <n v="9369"/>
    <n v="0"/>
    <n v="21"/>
    <n v="4"/>
    <n v="1"/>
    <n v="80"/>
    <n v="1"/>
    <n v="12"/>
    <n v="3"/>
    <n v="11"/>
    <n v="9"/>
    <n v="5"/>
    <n v="7"/>
  </r>
  <r>
    <s v="No"/>
    <s v="Travel_Frequently"/>
    <x v="0"/>
    <s v="Current Employees"/>
    <x v="1"/>
    <x v="2"/>
    <x v="887"/>
    <x v="887"/>
    <x v="0"/>
    <x v="7"/>
    <x v="1"/>
    <s v="Yes"/>
    <s v="Y"/>
    <n v="6"/>
    <n v="-2"/>
    <n v="0"/>
    <x v="19"/>
    <x v="1"/>
    <m/>
    <n v="0"/>
    <n v="1"/>
    <n v="458"/>
    <n v="26"/>
    <x v="4"/>
    <x v="0"/>
    <n v="1"/>
    <n v="60"/>
    <n v="3"/>
    <n v="3"/>
    <x v="2"/>
    <n v="13191"/>
    <n v="23281"/>
    <n v="3"/>
    <n v="17"/>
    <n v="3"/>
    <n v="3"/>
    <n v="80"/>
    <n v="0"/>
    <n v="20"/>
    <n v="3"/>
    <n v="1"/>
    <n v="0"/>
    <n v="0"/>
    <n v="0"/>
  </r>
  <r>
    <s v="No"/>
    <s v="Non-Travel"/>
    <x v="0"/>
    <s v="Current Employees"/>
    <x v="0"/>
    <x v="3"/>
    <x v="888"/>
    <x v="888"/>
    <x v="0"/>
    <x v="0"/>
    <x v="1"/>
    <s v="Yes"/>
    <s v="Y"/>
    <n v="6"/>
    <n v="-2"/>
    <n v="0"/>
    <x v="10"/>
    <x v="1"/>
    <m/>
    <n v="0"/>
    <n v="1"/>
    <n v="1212"/>
    <n v="8"/>
    <x v="0"/>
    <x v="0"/>
    <n v="3"/>
    <n v="78"/>
    <n v="2"/>
    <n v="3"/>
    <x v="1"/>
    <n v="10377"/>
    <n v="13755"/>
    <n v="4"/>
    <n v="11"/>
    <n v="3"/>
    <n v="2"/>
    <n v="80"/>
    <n v="1"/>
    <n v="16"/>
    <n v="2"/>
    <n v="13"/>
    <n v="2"/>
    <n v="4"/>
    <n v="12"/>
  </r>
  <r>
    <s v="No"/>
    <s v="Travel_Rarely"/>
    <x v="2"/>
    <s v="Current Employees"/>
    <x v="1"/>
    <x v="0"/>
    <x v="889"/>
    <x v="889"/>
    <x v="1"/>
    <x v="1"/>
    <x v="1"/>
    <s v="Yes"/>
    <s v="Y"/>
    <n v="3"/>
    <n v="-2"/>
    <n v="0"/>
    <x v="4"/>
    <x v="1"/>
    <m/>
    <n v="0"/>
    <n v="1"/>
    <n v="1103"/>
    <n v="14"/>
    <x v="3"/>
    <x v="0"/>
    <n v="1"/>
    <n v="42"/>
    <n v="3"/>
    <n v="1"/>
    <x v="3"/>
    <n v="2235"/>
    <n v="14377"/>
    <n v="1"/>
    <n v="14"/>
    <n v="3"/>
    <n v="4"/>
    <n v="80"/>
    <n v="2"/>
    <n v="9"/>
    <n v="2"/>
    <n v="9"/>
    <n v="7"/>
    <n v="6"/>
    <n v="8"/>
  </r>
  <r>
    <s v="No"/>
    <s v="Travel_Frequently"/>
    <x v="1"/>
    <s v="Current Employees"/>
    <x v="1"/>
    <x v="0"/>
    <x v="890"/>
    <x v="890"/>
    <x v="0"/>
    <x v="3"/>
    <x v="2"/>
    <s v="No"/>
    <s v="Y"/>
    <n v="2"/>
    <n v="-2"/>
    <n v="0"/>
    <x v="33"/>
    <x v="1"/>
    <m/>
    <n v="0"/>
    <n v="1"/>
    <n v="966"/>
    <n v="1"/>
    <x v="2"/>
    <x v="0"/>
    <n v="4"/>
    <n v="53"/>
    <n v="3"/>
    <n v="3"/>
    <x v="3"/>
    <n v="10502"/>
    <n v="9659"/>
    <n v="7"/>
    <n v="17"/>
    <n v="3"/>
    <n v="1"/>
    <n v="80"/>
    <n v="1"/>
    <n v="33"/>
    <n v="1"/>
    <n v="5"/>
    <n v="4"/>
    <n v="1"/>
    <n v="4"/>
  </r>
  <r>
    <s v="No"/>
    <s v="Travel_Rarely"/>
    <x v="0"/>
    <s v="Current Employees"/>
    <x v="1"/>
    <x v="0"/>
    <x v="891"/>
    <x v="891"/>
    <x v="0"/>
    <x v="1"/>
    <x v="1"/>
    <s v="No"/>
    <s v="Y"/>
    <n v="5"/>
    <n v="-2"/>
    <n v="0"/>
    <x v="20"/>
    <x v="1"/>
    <m/>
    <n v="0"/>
    <n v="1"/>
    <n v="1117"/>
    <n v="2"/>
    <x v="1"/>
    <x v="0"/>
    <n v="1"/>
    <n v="72"/>
    <n v="4"/>
    <n v="1"/>
    <x v="3"/>
    <n v="2011"/>
    <n v="19982"/>
    <n v="1"/>
    <n v="13"/>
    <n v="3"/>
    <n v="4"/>
    <n v="80"/>
    <n v="1"/>
    <n v="10"/>
    <n v="3"/>
    <n v="10"/>
    <n v="5"/>
    <n v="7"/>
    <n v="7"/>
  </r>
  <r>
    <s v="Yes"/>
    <s v="Non-Travel"/>
    <x v="4"/>
    <s v="Ex-Employees"/>
    <x v="1"/>
    <x v="2"/>
    <x v="892"/>
    <x v="892"/>
    <x v="0"/>
    <x v="1"/>
    <x v="0"/>
    <s v="Yes"/>
    <s v="Y"/>
    <n v="2"/>
    <n v="-2"/>
    <n v="0"/>
    <x v="37"/>
    <x v="0"/>
    <n v="1"/>
    <n v="1"/>
    <n v="0"/>
    <n v="504"/>
    <n v="10"/>
    <x v="3"/>
    <x v="0"/>
    <n v="1"/>
    <n v="96"/>
    <n v="2"/>
    <n v="1"/>
    <x v="1"/>
    <n v="1859"/>
    <n v="6148"/>
    <n v="1"/>
    <n v="25"/>
    <n v="4"/>
    <n v="2"/>
    <n v="80"/>
    <n v="0"/>
    <n v="1"/>
    <n v="4"/>
    <n v="1"/>
    <n v="1"/>
    <n v="0"/>
    <n v="0"/>
  </r>
  <r>
    <s v="No"/>
    <s v="Travel_Rarely"/>
    <x v="2"/>
    <s v="Current Employees"/>
    <x v="1"/>
    <x v="0"/>
    <x v="893"/>
    <x v="893"/>
    <x v="0"/>
    <x v="1"/>
    <x v="2"/>
    <s v="No"/>
    <s v="Y"/>
    <n v="5"/>
    <n v="-2"/>
    <n v="0"/>
    <x v="11"/>
    <x v="1"/>
    <m/>
    <n v="0"/>
    <n v="1"/>
    <n v="1010"/>
    <n v="1"/>
    <x v="3"/>
    <x v="0"/>
    <n v="1"/>
    <n v="97"/>
    <n v="3"/>
    <n v="1"/>
    <x v="3"/>
    <n v="3760"/>
    <n v="5598"/>
    <n v="1"/>
    <n v="15"/>
    <n v="3"/>
    <n v="1"/>
    <n v="80"/>
    <n v="3"/>
    <n v="3"/>
    <n v="3"/>
    <n v="3"/>
    <n v="2"/>
    <n v="1"/>
    <n v="2"/>
  </r>
  <r>
    <s v="No"/>
    <s v="Travel_Rarely"/>
    <x v="1"/>
    <s v="Current Employees"/>
    <x v="1"/>
    <x v="0"/>
    <x v="894"/>
    <x v="894"/>
    <x v="1"/>
    <x v="7"/>
    <x v="1"/>
    <s v="No"/>
    <s v="Y"/>
    <n v="2"/>
    <n v="-2"/>
    <n v="0"/>
    <x v="33"/>
    <x v="1"/>
    <m/>
    <n v="0"/>
    <n v="1"/>
    <n v="685"/>
    <n v="3"/>
    <x v="3"/>
    <x v="0"/>
    <n v="4"/>
    <n v="85"/>
    <n v="3"/>
    <n v="4"/>
    <x v="3"/>
    <n v="17779"/>
    <n v="23474"/>
    <n v="3"/>
    <n v="14"/>
    <n v="3"/>
    <n v="1"/>
    <n v="80"/>
    <n v="0"/>
    <n v="36"/>
    <n v="3"/>
    <n v="10"/>
    <n v="9"/>
    <n v="0"/>
    <n v="9"/>
  </r>
  <r>
    <s v="No"/>
    <s v="Travel_Rarely"/>
    <x v="2"/>
    <s v="Current Employees"/>
    <x v="1"/>
    <x v="2"/>
    <x v="895"/>
    <x v="895"/>
    <x v="1"/>
    <x v="4"/>
    <x v="1"/>
    <s v="Yes"/>
    <s v="Y"/>
    <n v="2"/>
    <n v="-2"/>
    <n v="0"/>
    <x v="12"/>
    <x v="1"/>
    <m/>
    <n v="0"/>
    <n v="1"/>
    <n v="1332"/>
    <n v="11"/>
    <x v="0"/>
    <x v="0"/>
    <n v="3"/>
    <n v="80"/>
    <n v="3"/>
    <n v="2"/>
    <x v="2"/>
    <n v="6833"/>
    <n v="17089"/>
    <n v="1"/>
    <n v="12"/>
    <n v="3"/>
    <n v="4"/>
    <n v="80"/>
    <n v="0"/>
    <n v="6"/>
    <n v="2"/>
    <n v="6"/>
    <n v="5"/>
    <n v="0"/>
    <n v="1"/>
  </r>
  <r>
    <s v="No"/>
    <s v="Travel_Rarely"/>
    <x v="2"/>
    <s v="Current Employees"/>
    <x v="1"/>
    <x v="2"/>
    <x v="896"/>
    <x v="896"/>
    <x v="0"/>
    <x v="4"/>
    <x v="0"/>
    <s v="No"/>
    <s v="Y"/>
    <n v="2"/>
    <n v="-2"/>
    <n v="0"/>
    <x v="12"/>
    <x v="1"/>
    <m/>
    <n v="0"/>
    <n v="1"/>
    <n v="1062"/>
    <n v="24"/>
    <x v="3"/>
    <x v="0"/>
    <n v="3"/>
    <n v="96"/>
    <n v="2"/>
    <n v="2"/>
    <x v="2"/>
    <n v="6812"/>
    <n v="17198"/>
    <n v="1"/>
    <n v="19"/>
    <n v="3"/>
    <n v="2"/>
    <n v="80"/>
    <n v="0"/>
    <n v="10"/>
    <n v="3"/>
    <n v="10"/>
    <n v="9"/>
    <n v="1"/>
    <n v="8"/>
  </r>
  <r>
    <s v="No"/>
    <s v="Travel_Rarely"/>
    <x v="3"/>
    <s v="Current Employees"/>
    <x v="0"/>
    <x v="0"/>
    <x v="897"/>
    <x v="897"/>
    <x v="0"/>
    <x v="0"/>
    <x v="0"/>
    <s v="No"/>
    <s v="Y"/>
    <n v="2"/>
    <n v="-2"/>
    <n v="0"/>
    <x v="6"/>
    <x v="1"/>
    <m/>
    <n v="0"/>
    <n v="1"/>
    <n v="326"/>
    <n v="3"/>
    <x v="3"/>
    <x v="0"/>
    <n v="3"/>
    <n v="48"/>
    <n v="2"/>
    <n v="2"/>
    <x v="3"/>
    <n v="5171"/>
    <n v="16490"/>
    <n v="5"/>
    <n v="17"/>
    <n v="3"/>
    <n v="4"/>
    <n v="80"/>
    <n v="0"/>
    <n v="13"/>
    <n v="3"/>
    <n v="6"/>
    <n v="1"/>
    <n v="0"/>
    <n v="5"/>
  </r>
  <r>
    <s v="No"/>
    <s v="Travel_Rarely"/>
    <x v="0"/>
    <s v="Current Employees"/>
    <x v="1"/>
    <x v="0"/>
    <x v="898"/>
    <x v="898"/>
    <x v="1"/>
    <x v="7"/>
    <x v="1"/>
    <s v="No"/>
    <s v="Y"/>
    <n v="2"/>
    <n v="-2"/>
    <n v="0"/>
    <x v="23"/>
    <x v="1"/>
    <m/>
    <n v="0"/>
    <n v="1"/>
    <n v="920"/>
    <n v="3"/>
    <x v="3"/>
    <x v="0"/>
    <n v="3"/>
    <n v="96"/>
    <n v="1"/>
    <n v="5"/>
    <x v="3"/>
    <n v="19740"/>
    <n v="18625"/>
    <n v="3"/>
    <n v="14"/>
    <n v="3"/>
    <n v="2"/>
    <n v="80"/>
    <n v="1"/>
    <n v="25"/>
    <n v="3"/>
    <n v="8"/>
    <n v="7"/>
    <n v="0"/>
    <n v="7"/>
  </r>
  <r>
    <s v="No"/>
    <s v="Travel_Rarely"/>
    <x v="1"/>
    <s v="Current Employees"/>
    <x v="1"/>
    <x v="2"/>
    <x v="899"/>
    <x v="899"/>
    <x v="1"/>
    <x v="5"/>
    <x v="1"/>
    <s v="No"/>
    <s v="Y"/>
    <n v="2"/>
    <n v="-2"/>
    <n v="0"/>
    <x v="1"/>
    <x v="1"/>
    <m/>
    <n v="0"/>
    <n v="1"/>
    <n v="1098"/>
    <n v="4"/>
    <x v="0"/>
    <x v="0"/>
    <n v="1"/>
    <n v="85"/>
    <n v="2"/>
    <n v="5"/>
    <x v="2"/>
    <n v="18711"/>
    <n v="12124"/>
    <n v="2"/>
    <n v="13"/>
    <n v="3"/>
    <n v="3"/>
    <n v="80"/>
    <n v="1"/>
    <n v="23"/>
    <n v="4"/>
    <n v="1"/>
    <n v="0"/>
    <n v="0"/>
    <n v="0"/>
  </r>
  <r>
    <s v="No"/>
    <s v="Travel_Frequently"/>
    <x v="0"/>
    <s v="Current Employees"/>
    <x v="1"/>
    <x v="4"/>
    <x v="900"/>
    <x v="900"/>
    <x v="1"/>
    <x v="1"/>
    <x v="1"/>
    <s v="No"/>
    <s v="Y"/>
    <n v="2"/>
    <n v="-2"/>
    <n v="0"/>
    <x v="9"/>
    <x v="1"/>
    <m/>
    <n v="0"/>
    <n v="1"/>
    <n v="469"/>
    <n v="3"/>
    <x v="3"/>
    <x v="0"/>
    <n v="4"/>
    <n v="46"/>
    <n v="3"/>
    <n v="1"/>
    <x v="0"/>
    <n v="3692"/>
    <n v="9256"/>
    <n v="1"/>
    <n v="12"/>
    <n v="3"/>
    <n v="3"/>
    <n v="80"/>
    <n v="0"/>
    <n v="12"/>
    <n v="2"/>
    <n v="11"/>
    <n v="10"/>
    <n v="0"/>
    <n v="7"/>
  </r>
  <r>
    <s v="No"/>
    <s v="Travel_Rarely"/>
    <x v="1"/>
    <s v="Current Employees"/>
    <x v="1"/>
    <x v="4"/>
    <x v="901"/>
    <x v="901"/>
    <x v="1"/>
    <x v="2"/>
    <x v="0"/>
    <s v="No"/>
    <s v="Y"/>
    <n v="4"/>
    <n v="-2"/>
    <n v="0"/>
    <x v="26"/>
    <x v="1"/>
    <m/>
    <n v="0"/>
    <n v="1"/>
    <n v="969"/>
    <n v="2"/>
    <x v="0"/>
    <x v="0"/>
    <n v="4"/>
    <n v="76"/>
    <n v="4"/>
    <n v="1"/>
    <x v="0"/>
    <n v="2559"/>
    <n v="16620"/>
    <n v="5"/>
    <n v="11"/>
    <n v="3"/>
    <n v="3"/>
    <n v="80"/>
    <n v="0"/>
    <n v="7"/>
    <n v="2"/>
    <n v="1"/>
    <n v="0"/>
    <n v="0"/>
    <n v="0"/>
  </r>
  <r>
    <s v="No"/>
    <s v="Travel_Rarely"/>
    <x v="2"/>
    <s v="Current Employees"/>
    <x v="1"/>
    <x v="0"/>
    <x v="902"/>
    <x v="902"/>
    <x v="1"/>
    <x v="1"/>
    <x v="2"/>
    <s v="No"/>
    <s v="Y"/>
    <n v="2"/>
    <n v="-2"/>
    <n v="0"/>
    <x v="4"/>
    <x v="1"/>
    <m/>
    <n v="0"/>
    <n v="1"/>
    <n v="1167"/>
    <n v="4"/>
    <x v="0"/>
    <x v="0"/>
    <n v="1"/>
    <n v="76"/>
    <n v="3"/>
    <n v="1"/>
    <x v="3"/>
    <n v="2517"/>
    <n v="3208"/>
    <n v="1"/>
    <n v="11"/>
    <n v="3"/>
    <n v="2"/>
    <n v="80"/>
    <n v="3"/>
    <n v="5"/>
    <n v="3"/>
    <n v="5"/>
    <n v="3"/>
    <n v="0"/>
    <n v="3"/>
  </r>
  <r>
    <s v="No"/>
    <s v="Travel_Rarely"/>
    <x v="2"/>
    <s v="Current Employees"/>
    <x v="1"/>
    <x v="0"/>
    <x v="903"/>
    <x v="903"/>
    <x v="1"/>
    <x v="4"/>
    <x v="2"/>
    <s v="Yes"/>
    <s v="Y"/>
    <n v="2"/>
    <n v="-2"/>
    <n v="0"/>
    <x v="11"/>
    <x v="1"/>
    <m/>
    <n v="0"/>
    <n v="1"/>
    <n v="1329"/>
    <n v="7"/>
    <x v="3"/>
    <x v="0"/>
    <n v="3"/>
    <n v="82"/>
    <n v="3"/>
    <n v="2"/>
    <x v="3"/>
    <n v="6623"/>
    <n v="4204"/>
    <n v="1"/>
    <n v="11"/>
    <n v="3"/>
    <n v="2"/>
    <n v="80"/>
    <n v="2"/>
    <n v="6"/>
    <n v="3"/>
    <n v="6"/>
    <n v="0"/>
    <n v="1"/>
    <n v="0"/>
  </r>
  <r>
    <s v="No"/>
    <s v="Travel_Rarely"/>
    <x v="1"/>
    <s v="Current Employees"/>
    <x v="1"/>
    <x v="0"/>
    <x v="904"/>
    <x v="904"/>
    <x v="1"/>
    <x v="7"/>
    <x v="0"/>
    <s v="No"/>
    <s v="Y"/>
    <n v="3"/>
    <n v="-2"/>
    <n v="0"/>
    <x v="26"/>
    <x v="1"/>
    <m/>
    <n v="0"/>
    <n v="1"/>
    <n v="715"/>
    <n v="1"/>
    <x v="3"/>
    <x v="0"/>
    <n v="4"/>
    <n v="76"/>
    <n v="2"/>
    <n v="5"/>
    <x v="3"/>
    <n v="18265"/>
    <n v="8733"/>
    <n v="6"/>
    <n v="12"/>
    <n v="3"/>
    <n v="3"/>
    <n v="80"/>
    <n v="0"/>
    <n v="25"/>
    <n v="4"/>
    <n v="1"/>
    <n v="0"/>
    <n v="0"/>
    <n v="0"/>
  </r>
  <r>
    <s v="No"/>
    <s v="Travel_Rarely"/>
    <x v="2"/>
    <s v="Current Employees"/>
    <x v="1"/>
    <x v="0"/>
    <x v="905"/>
    <x v="905"/>
    <x v="0"/>
    <x v="7"/>
    <x v="2"/>
    <s v="No"/>
    <s v="Y"/>
    <n v="2"/>
    <n v="-2"/>
    <n v="0"/>
    <x v="11"/>
    <x v="1"/>
    <m/>
    <n v="0"/>
    <n v="1"/>
    <n v="694"/>
    <n v="1"/>
    <x v="3"/>
    <x v="0"/>
    <n v="4"/>
    <n v="87"/>
    <n v="2"/>
    <n v="4"/>
    <x v="3"/>
    <n v="16124"/>
    <n v="3423"/>
    <n v="3"/>
    <n v="14"/>
    <n v="3"/>
    <n v="2"/>
    <n v="80"/>
    <n v="2"/>
    <n v="9"/>
    <n v="2"/>
    <n v="7"/>
    <n v="7"/>
    <n v="1"/>
    <n v="7"/>
  </r>
  <r>
    <s v="No"/>
    <s v="Travel_Rarely"/>
    <x v="2"/>
    <s v="Current Employees"/>
    <x v="1"/>
    <x v="4"/>
    <x v="906"/>
    <x v="906"/>
    <x v="0"/>
    <x v="1"/>
    <x v="1"/>
    <s v="No"/>
    <s v="Y"/>
    <n v="5"/>
    <n v="-2"/>
    <n v="0"/>
    <x v="13"/>
    <x v="1"/>
    <m/>
    <n v="0"/>
    <n v="1"/>
    <n v="1320"/>
    <n v="20"/>
    <x v="3"/>
    <x v="0"/>
    <n v="4"/>
    <n v="89"/>
    <n v="4"/>
    <n v="1"/>
    <x v="0"/>
    <n v="2585"/>
    <n v="21643"/>
    <n v="0"/>
    <n v="17"/>
    <n v="3"/>
    <n v="4"/>
    <n v="80"/>
    <n v="0"/>
    <n v="2"/>
    <n v="2"/>
    <n v="1"/>
    <n v="0"/>
    <n v="0"/>
    <n v="0"/>
  </r>
  <r>
    <s v="No"/>
    <s v="Travel_Rarely"/>
    <x v="0"/>
    <s v="Current Employees"/>
    <x v="0"/>
    <x v="3"/>
    <x v="907"/>
    <x v="907"/>
    <x v="1"/>
    <x v="5"/>
    <x v="1"/>
    <s v="No"/>
    <s v="Y"/>
    <n v="5"/>
    <n v="-2"/>
    <n v="0"/>
    <x v="20"/>
    <x v="1"/>
    <m/>
    <n v="0"/>
    <n v="1"/>
    <n v="1099"/>
    <n v="5"/>
    <x v="3"/>
    <x v="0"/>
    <n v="2"/>
    <n v="88"/>
    <n v="3"/>
    <n v="5"/>
    <x v="1"/>
    <n v="18213"/>
    <n v="8751"/>
    <n v="7"/>
    <n v="11"/>
    <n v="3"/>
    <n v="3"/>
    <n v="80"/>
    <n v="1"/>
    <n v="26"/>
    <n v="3"/>
    <n v="22"/>
    <n v="9"/>
    <n v="3"/>
    <n v="10"/>
  </r>
  <r>
    <s v="No"/>
    <s v="Travel_Rarely"/>
    <x v="2"/>
    <s v="Current Employees"/>
    <x v="0"/>
    <x v="3"/>
    <x v="908"/>
    <x v="908"/>
    <x v="1"/>
    <x v="0"/>
    <x v="2"/>
    <s v="Yes"/>
    <s v="Y"/>
    <n v="3"/>
    <n v="-2"/>
    <n v="0"/>
    <x v="3"/>
    <x v="1"/>
    <m/>
    <n v="0"/>
    <n v="1"/>
    <n v="536"/>
    <n v="10"/>
    <x v="4"/>
    <x v="0"/>
    <n v="4"/>
    <n v="82"/>
    <n v="4"/>
    <n v="3"/>
    <x v="1"/>
    <n v="8380"/>
    <n v="21708"/>
    <n v="0"/>
    <n v="14"/>
    <n v="3"/>
    <n v="4"/>
    <n v="80"/>
    <n v="2"/>
    <n v="10"/>
    <n v="3"/>
    <n v="9"/>
    <n v="8"/>
    <n v="0"/>
    <n v="8"/>
  </r>
  <r>
    <s v="No"/>
    <s v="Travel_Rarely"/>
    <x v="4"/>
    <s v="Current Employees"/>
    <x v="1"/>
    <x v="0"/>
    <x v="909"/>
    <x v="909"/>
    <x v="0"/>
    <x v="1"/>
    <x v="0"/>
    <s v="Yes"/>
    <s v="Y"/>
    <n v="2"/>
    <n v="-2"/>
    <n v="0"/>
    <x v="37"/>
    <x v="1"/>
    <m/>
    <n v="0"/>
    <n v="1"/>
    <n v="265"/>
    <n v="25"/>
    <x v="3"/>
    <x v="0"/>
    <n v="2"/>
    <n v="57"/>
    <n v="4"/>
    <n v="1"/>
    <x v="3"/>
    <n v="2994"/>
    <n v="21221"/>
    <n v="1"/>
    <n v="12"/>
    <n v="3"/>
    <n v="4"/>
    <n v="80"/>
    <n v="0"/>
    <n v="1"/>
    <n v="3"/>
    <n v="1"/>
    <n v="0"/>
    <n v="0"/>
    <n v="1"/>
  </r>
  <r>
    <s v="No"/>
    <s v="Travel_Rarely"/>
    <x v="4"/>
    <s v="Current Employees"/>
    <x v="1"/>
    <x v="0"/>
    <x v="910"/>
    <x v="910"/>
    <x v="1"/>
    <x v="1"/>
    <x v="1"/>
    <s v="No"/>
    <s v="Y"/>
    <n v="2"/>
    <n v="-2"/>
    <n v="0"/>
    <x v="30"/>
    <x v="1"/>
    <m/>
    <n v="0"/>
    <n v="1"/>
    <n v="373"/>
    <n v="1"/>
    <x v="0"/>
    <x v="0"/>
    <n v="4"/>
    <n v="47"/>
    <n v="3"/>
    <n v="1"/>
    <x v="3"/>
    <n v="1223"/>
    <n v="16901"/>
    <n v="1"/>
    <n v="22"/>
    <n v="4"/>
    <n v="4"/>
    <n v="80"/>
    <n v="1"/>
    <n v="1"/>
    <n v="3"/>
    <n v="1"/>
    <n v="0"/>
    <n v="0"/>
    <n v="1"/>
  </r>
  <r>
    <s v="Yes"/>
    <s v="Travel_Frequently"/>
    <x v="2"/>
    <s v="Ex-Employees"/>
    <x v="0"/>
    <x v="0"/>
    <x v="911"/>
    <x v="911"/>
    <x v="1"/>
    <x v="6"/>
    <x v="0"/>
    <s v="Yes"/>
    <s v="Y"/>
    <n v="4"/>
    <n v="-2"/>
    <n v="0"/>
    <x v="36"/>
    <x v="0"/>
    <n v="1"/>
    <n v="1"/>
    <n v="0"/>
    <n v="599"/>
    <n v="24"/>
    <x v="1"/>
    <x v="0"/>
    <n v="3"/>
    <n v="73"/>
    <n v="1"/>
    <n v="1"/>
    <x v="3"/>
    <n v="1118"/>
    <n v="8040"/>
    <n v="1"/>
    <n v="14"/>
    <n v="3"/>
    <n v="4"/>
    <n v="80"/>
    <n v="0"/>
    <n v="1"/>
    <n v="3"/>
    <n v="1"/>
    <n v="0"/>
    <n v="1"/>
    <n v="0"/>
  </r>
  <r>
    <s v="No"/>
    <s v="Travel_Rarely"/>
    <x v="2"/>
    <s v="Current Employees"/>
    <x v="1"/>
    <x v="0"/>
    <x v="912"/>
    <x v="912"/>
    <x v="1"/>
    <x v="1"/>
    <x v="0"/>
    <s v="Yes"/>
    <s v="Y"/>
    <n v="2"/>
    <n v="-2"/>
    <n v="0"/>
    <x v="25"/>
    <x v="1"/>
    <m/>
    <n v="0"/>
    <n v="1"/>
    <n v="583"/>
    <n v="4"/>
    <x v="0"/>
    <x v="0"/>
    <n v="3"/>
    <n v="53"/>
    <n v="3"/>
    <n v="1"/>
    <x v="3"/>
    <n v="2875"/>
    <n v="9973"/>
    <n v="1"/>
    <n v="20"/>
    <n v="4"/>
    <n v="2"/>
    <n v="80"/>
    <n v="0"/>
    <n v="8"/>
    <n v="2"/>
    <n v="8"/>
    <n v="5"/>
    <n v="2"/>
    <n v="2"/>
  </r>
  <r>
    <s v="Yes"/>
    <s v="Travel_Rarely"/>
    <x v="1"/>
    <s v="Ex-Employees"/>
    <x v="0"/>
    <x v="3"/>
    <x v="913"/>
    <x v="913"/>
    <x v="0"/>
    <x v="5"/>
    <x v="0"/>
    <s v="Yes"/>
    <s v="Y"/>
    <n v="2"/>
    <n v="-2"/>
    <n v="0"/>
    <x v="28"/>
    <x v="0"/>
    <n v="1"/>
    <n v="1"/>
    <n v="0"/>
    <n v="1449"/>
    <n v="2"/>
    <x v="3"/>
    <x v="0"/>
    <n v="1"/>
    <n v="94"/>
    <n v="1"/>
    <n v="5"/>
    <x v="1"/>
    <n v="18824"/>
    <n v="2493"/>
    <n v="2"/>
    <n v="16"/>
    <n v="3"/>
    <n v="1"/>
    <n v="80"/>
    <n v="0"/>
    <n v="26"/>
    <n v="3"/>
    <n v="24"/>
    <n v="10"/>
    <n v="1"/>
    <n v="11"/>
  </r>
  <r>
    <s v="No"/>
    <s v="Non-Travel"/>
    <x v="3"/>
    <s v="Current Employees"/>
    <x v="1"/>
    <x v="2"/>
    <x v="914"/>
    <x v="914"/>
    <x v="1"/>
    <x v="4"/>
    <x v="2"/>
    <s v="Yes"/>
    <s v="Y"/>
    <n v="3"/>
    <n v="-2"/>
    <n v="0"/>
    <x v="27"/>
    <x v="1"/>
    <m/>
    <n v="0"/>
    <n v="1"/>
    <n v="177"/>
    <n v="8"/>
    <x v="1"/>
    <x v="0"/>
    <n v="4"/>
    <n v="37"/>
    <n v="2"/>
    <n v="4"/>
    <x v="1"/>
    <n v="13577"/>
    <n v="25592"/>
    <n v="1"/>
    <n v="15"/>
    <n v="3"/>
    <n v="4"/>
    <n v="80"/>
    <n v="1"/>
    <n v="34"/>
    <n v="3"/>
    <n v="33"/>
    <n v="9"/>
    <n v="15"/>
    <n v="0"/>
  </r>
  <r>
    <s v="Yes"/>
    <s v="Travel_Frequently"/>
    <x v="4"/>
    <s v="Ex-Employees"/>
    <x v="1"/>
    <x v="0"/>
    <x v="915"/>
    <x v="915"/>
    <x v="0"/>
    <x v="2"/>
    <x v="0"/>
    <s v="No"/>
    <s v="Y"/>
    <n v="2"/>
    <n v="-2"/>
    <n v="0"/>
    <x v="18"/>
    <x v="0"/>
    <n v="1"/>
    <n v="1"/>
    <n v="0"/>
    <n v="251"/>
    <n v="10"/>
    <x v="0"/>
    <x v="0"/>
    <n v="1"/>
    <n v="45"/>
    <n v="2"/>
    <n v="1"/>
    <x v="3"/>
    <n v="2625"/>
    <n v="25308"/>
    <n v="1"/>
    <n v="20"/>
    <n v="4"/>
    <n v="3"/>
    <n v="80"/>
    <n v="0"/>
    <n v="2"/>
    <n v="1"/>
    <n v="2"/>
    <n v="2"/>
    <n v="2"/>
    <n v="2"/>
  </r>
  <r>
    <s v="No"/>
    <s v="Travel_Rarely"/>
    <x v="1"/>
    <s v="Current Employees"/>
    <x v="0"/>
    <x v="3"/>
    <x v="916"/>
    <x v="916"/>
    <x v="0"/>
    <x v="5"/>
    <x v="1"/>
    <s v="No"/>
    <s v="Y"/>
    <n v="2"/>
    <n v="-2"/>
    <n v="0"/>
    <x v="21"/>
    <x v="1"/>
    <m/>
    <n v="0"/>
    <n v="1"/>
    <n v="168"/>
    <n v="4"/>
    <x v="0"/>
    <x v="0"/>
    <n v="4"/>
    <n v="33"/>
    <n v="2"/>
    <n v="5"/>
    <x v="1"/>
    <n v="18789"/>
    <n v="9946"/>
    <n v="2"/>
    <n v="14"/>
    <n v="3"/>
    <n v="3"/>
    <n v="80"/>
    <n v="1"/>
    <n v="26"/>
    <n v="3"/>
    <n v="11"/>
    <n v="4"/>
    <n v="0"/>
    <n v="8"/>
  </r>
  <r>
    <s v="No"/>
    <s v="Travel_Rarely"/>
    <x v="2"/>
    <s v="Current Employees"/>
    <x v="0"/>
    <x v="3"/>
    <x v="917"/>
    <x v="917"/>
    <x v="0"/>
    <x v="0"/>
    <x v="0"/>
    <s v="Yes"/>
    <s v="Y"/>
    <n v="3"/>
    <n v="-2"/>
    <n v="0"/>
    <x v="13"/>
    <x v="1"/>
    <m/>
    <n v="0"/>
    <n v="1"/>
    <n v="131"/>
    <n v="2"/>
    <x v="3"/>
    <x v="0"/>
    <n v="3"/>
    <n v="86"/>
    <n v="3"/>
    <n v="2"/>
    <x v="1"/>
    <n v="4538"/>
    <n v="6039"/>
    <n v="0"/>
    <n v="12"/>
    <n v="3"/>
    <n v="4"/>
    <n v="80"/>
    <n v="0"/>
    <n v="4"/>
    <n v="3"/>
    <n v="3"/>
    <n v="2"/>
    <n v="0"/>
    <n v="2"/>
  </r>
  <r>
    <s v="No"/>
    <s v="Travel_Frequently"/>
    <x v="1"/>
    <s v="Current Employees"/>
    <x v="0"/>
    <x v="0"/>
    <x v="918"/>
    <x v="918"/>
    <x v="1"/>
    <x v="5"/>
    <x v="2"/>
    <s v="Yes"/>
    <s v="Y"/>
    <n v="5"/>
    <n v="-2"/>
    <n v="0"/>
    <x v="31"/>
    <x v="1"/>
    <m/>
    <n v="0"/>
    <n v="1"/>
    <n v="237"/>
    <n v="9"/>
    <x v="3"/>
    <x v="0"/>
    <n v="4"/>
    <n v="83"/>
    <n v="3"/>
    <n v="5"/>
    <x v="3"/>
    <n v="19847"/>
    <n v="19196"/>
    <n v="4"/>
    <n v="24"/>
    <n v="4"/>
    <n v="1"/>
    <n v="80"/>
    <n v="1"/>
    <n v="31"/>
    <n v="2"/>
    <n v="29"/>
    <n v="10"/>
    <n v="11"/>
    <n v="10"/>
  </r>
  <r>
    <s v="No"/>
    <s v="Travel_Rarely"/>
    <x v="3"/>
    <s v="Current Employees"/>
    <x v="1"/>
    <x v="2"/>
    <x v="919"/>
    <x v="919"/>
    <x v="1"/>
    <x v="3"/>
    <x v="0"/>
    <s v="No"/>
    <s v="Y"/>
    <n v="6"/>
    <n v="-2"/>
    <n v="0"/>
    <x v="6"/>
    <x v="1"/>
    <m/>
    <n v="0"/>
    <n v="1"/>
    <n v="1429"/>
    <n v="18"/>
    <x v="2"/>
    <x v="0"/>
    <n v="4"/>
    <n v="67"/>
    <n v="3"/>
    <n v="3"/>
    <x v="0"/>
    <n v="10512"/>
    <n v="20002"/>
    <n v="6"/>
    <n v="12"/>
    <n v="3"/>
    <n v="4"/>
    <n v="80"/>
    <n v="0"/>
    <n v="25"/>
    <n v="2"/>
    <n v="9"/>
    <n v="7"/>
    <n v="5"/>
    <n v="4"/>
  </r>
  <r>
    <s v="No"/>
    <s v="Travel_Frequently"/>
    <x v="2"/>
    <s v="Current Employees"/>
    <x v="1"/>
    <x v="2"/>
    <x v="920"/>
    <x v="920"/>
    <x v="0"/>
    <x v="2"/>
    <x v="2"/>
    <s v="No"/>
    <s v="Y"/>
    <n v="2"/>
    <n v="-2"/>
    <n v="0"/>
    <x v="13"/>
    <x v="1"/>
    <m/>
    <n v="0"/>
    <n v="1"/>
    <n v="135"/>
    <n v="19"/>
    <x v="3"/>
    <x v="0"/>
    <n v="3"/>
    <n v="46"/>
    <n v="3"/>
    <n v="2"/>
    <x v="1"/>
    <n v="4444"/>
    <n v="22534"/>
    <n v="4"/>
    <n v="13"/>
    <n v="3"/>
    <n v="3"/>
    <n v="80"/>
    <n v="2"/>
    <n v="15"/>
    <n v="4"/>
    <n v="11"/>
    <n v="8"/>
    <n v="5"/>
    <n v="10"/>
  </r>
  <r>
    <s v="No"/>
    <s v="Travel_Frequently"/>
    <x v="2"/>
    <s v="Current Employees"/>
    <x v="1"/>
    <x v="2"/>
    <x v="921"/>
    <x v="921"/>
    <x v="1"/>
    <x v="2"/>
    <x v="0"/>
    <s v="Yes"/>
    <s v="Y"/>
    <n v="2"/>
    <n v="-2"/>
    <n v="0"/>
    <x v="14"/>
    <x v="1"/>
    <m/>
    <n v="0"/>
    <n v="1"/>
    <n v="791"/>
    <n v="1"/>
    <x v="2"/>
    <x v="0"/>
    <n v="4"/>
    <n v="44"/>
    <n v="3"/>
    <n v="1"/>
    <x v="2"/>
    <n v="2154"/>
    <n v="6842"/>
    <n v="0"/>
    <n v="11"/>
    <n v="3"/>
    <n v="3"/>
    <n v="80"/>
    <n v="0"/>
    <n v="5"/>
    <n v="2"/>
    <n v="4"/>
    <n v="2"/>
    <n v="0"/>
    <n v="2"/>
  </r>
  <r>
    <s v="No"/>
    <s v="Travel_Rarely"/>
    <x v="0"/>
    <s v="Current Employees"/>
    <x v="1"/>
    <x v="0"/>
    <x v="922"/>
    <x v="922"/>
    <x v="1"/>
    <x v="5"/>
    <x v="2"/>
    <s v="No"/>
    <s v="Y"/>
    <n v="4"/>
    <n v="-2"/>
    <n v="0"/>
    <x v="20"/>
    <x v="1"/>
    <m/>
    <n v="0"/>
    <n v="1"/>
    <n v="1199"/>
    <n v="4"/>
    <x v="0"/>
    <x v="0"/>
    <n v="3"/>
    <n v="92"/>
    <n v="4"/>
    <n v="5"/>
    <x v="2"/>
    <n v="19190"/>
    <n v="17477"/>
    <n v="1"/>
    <n v="14"/>
    <n v="3"/>
    <n v="4"/>
    <n v="80"/>
    <n v="2"/>
    <n v="26"/>
    <n v="2"/>
    <n v="25"/>
    <n v="9"/>
    <n v="14"/>
    <n v="13"/>
  </r>
  <r>
    <s v="No"/>
    <s v="Travel_Frequently"/>
    <x v="2"/>
    <s v="Current Employees"/>
    <x v="2"/>
    <x v="0"/>
    <x v="923"/>
    <x v="923"/>
    <x v="1"/>
    <x v="8"/>
    <x v="1"/>
    <s v="No"/>
    <s v="Y"/>
    <n v="5"/>
    <n v="-2"/>
    <n v="0"/>
    <x v="13"/>
    <x v="1"/>
    <m/>
    <n v="0"/>
    <n v="1"/>
    <n v="648"/>
    <n v="11"/>
    <x v="3"/>
    <x v="0"/>
    <n v="3"/>
    <n v="56"/>
    <n v="2"/>
    <n v="2"/>
    <x v="1"/>
    <n v="4490"/>
    <n v="21833"/>
    <n v="4"/>
    <n v="11"/>
    <n v="3"/>
    <n v="4"/>
    <n v="80"/>
    <n v="2"/>
    <n v="14"/>
    <n v="4"/>
    <n v="10"/>
    <n v="9"/>
    <n v="1"/>
    <n v="8"/>
  </r>
  <r>
    <s v="No"/>
    <s v="Travel_Rarely"/>
    <x v="0"/>
    <s v="Current Employees"/>
    <x v="1"/>
    <x v="0"/>
    <x v="924"/>
    <x v="924"/>
    <x v="1"/>
    <x v="1"/>
    <x v="1"/>
    <s v="Yes"/>
    <s v="Y"/>
    <n v="3"/>
    <n v="-2"/>
    <n v="0"/>
    <x v="10"/>
    <x v="1"/>
    <m/>
    <n v="0"/>
    <n v="1"/>
    <n v="735"/>
    <n v="6"/>
    <x v="1"/>
    <x v="0"/>
    <n v="3"/>
    <n v="66"/>
    <n v="3"/>
    <n v="1"/>
    <x v="2"/>
    <n v="3506"/>
    <n v="6020"/>
    <n v="0"/>
    <n v="14"/>
    <n v="3"/>
    <n v="4"/>
    <n v="80"/>
    <n v="0"/>
    <n v="4"/>
    <n v="3"/>
    <n v="3"/>
    <n v="2"/>
    <n v="2"/>
    <n v="2"/>
  </r>
  <r>
    <s v="No"/>
    <s v="Travel_Rarely"/>
    <x v="0"/>
    <s v="Current Employees"/>
    <x v="1"/>
    <x v="2"/>
    <x v="925"/>
    <x v="925"/>
    <x v="0"/>
    <x v="1"/>
    <x v="1"/>
    <s v="Yes"/>
    <s v="Y"/>
    <n v="2"/>
    <n v="-2"/>
    <n v="0"/>
    <x v="19"/>
    <x v="1"/>
    <m/>
    <n v="0"/>
    <n v="1"/>
    <n v="603"/>
    <n v="7"/>
    <x v="2"/>
    <x v="0"/>
    <n v="2"/>
    <n v="78"/>
    <n v="4"/>
    <n v="2"/>
    <x v="1"/>
    <n v="2372"/>
    <n v="5628"/>
    <n v="6"/>
    <n v="16"/>
    <n v="3"/>
    <n v="4"/>
    <n v="80"/>
    <n v="0"/>
    <n v="18"/>
    <n v="3"/>
    <n v="1"/>
    <n v="0"/>
    <n v="0"/>
    <n v="0"/>
  </r>
  <r>
    <s v="No"/>
    <s v="Travel_Rarely"/>
    <x v="0"/>
    <s v="Current Employees"/>
    <x v="0"/>
    <x v="3"/>
    <x v="926"/>
    <x v="926"/>
    <x v="0"/>
    <x v="0"/>
    <x v="0"/>
    <s v="No"/>
    <s v="Y"/>
    <n v="3"/>
    <n v="-2"/>
    <n v="0"/>
    <x v="23"/>
    <x v="1"/>
    <m/>
    <n v="0"/>
    <n v="1"/>
    <n v="531"/>
    <n v="4"/>
    <x v="2"/>
    <x v="0"/>
    <n v="4"/>
    <n v="56"/>
    <n v="2"/>
    <n v="3"/>
    <x v="1"/>
    <n v="10231"/>
    <n v="20364"/>
    <n v="3"/>
    <n v="14"/>
    <n v="3"/>
    <n v="4"/>
    <n v="80"/>
    <n v="0"/>
    <n v="23"/>
    <n v="4"/>
    <n v="21"/>
    <n v="7"/>
    <n v="15"/>
    <n v="17"/>
  </r>
  <r>
    <s v="No"/>
    <s v="Travel_Rarely"/>
    <x v="0"/>
    <s v="Current Employees"/>
    <x v="1"/>
    <x v="0"/>
    <x v="927"/>
    <x v="927"/>
    <x v="0"/>
    <x v="3"/>
    <x v="0"/>
    <s v="Yes"/>
    <s v="Y"/>
    <n v="2"/>
    <n v="-2"/>
    <n v="0"/>
    <x v="9"/>
    <x v="1"/>
    <m/>
    <n v="0"/>
    <n v="1"/>
    <n v="429"/>
    <n v="2"/>
    <x v="2"/>
    <x v="0"/>
    <n v="3"/>
    <n v="53"/>
    <n v="3"/>
    <n v="2"/>
    <x v="1"/>
    <n v="5410"/>
    <n v="2323"/>
    <n v="9"/>
    <n v="11"/>
    <n v="3"/>
    <n v="4"/>
    <n v="80"/>
    <n v="0"/>
    <n v="18"/>
    <n v="3"/>
    <n v="16"/>
    <n v="14"/>
    <n v="5"/>
    <n v="12"/>
  </r>
  <r>
    <s v="Yes"/>
    <s v="Travel_Rarely"/>
    <x v="0"/>
    <s v="Ex-Employees"/>
    <x v="1"/>
    <x v="2"/>
    <x v="928"/>
    <x v="928"/>
    <x v="0"/>
    <x v="4"/>
    <x v="1"/>
    <s v="No"/>
    <s v="Y"/>
    <n v="2"/>
    <n v="-2"/>
    <n v="0"/>
    <x v="20"/>
    <x v="0"/>
    <n v="1"/>
    <n v="1"/>
    <n v="0"/>
    <n v="621"/>
    <n v="15"/>
    <x v="3"/>
    <x v="0"/>
    <n v="1"/>
    <n v="73"/>
    <n v="3"/>
    <n v="3"/>
    <x v="0"/>
    <n v="7978"/>
    <n v="14075"/>
    <n v="1"/>
    <n v="11"/>
    <n v="3"/>
    <n v="4"/>
    <n v="80"/>
    <n v="1"/>
    <n v="10"/>
    <n v="3"/>
    <n v="10"/>
    <n v="7"/>
    <n v="0"/>
    <n v="5"/>
  </r>
  <r>
    <s v="No"/>
    <s v="Travel_Frequently"/>
    <x v="2"/>
    <s v="Current Employees"/>
    <x v="1"/>
    <x v="0"/>
    <x v="929"/>
    <x v="929"/>
    <x v="1"/>
    <x v="2"/>
    <x v="1"/>
    <s v="Yes"/>
    <s v="Y"/>
    <n v="2"/>
    <n v="-2"/>
    <n v="0"/>
    <x v="14"/>
    <x v="1"/>
    <m/>
    <n v="0"/>
    <n v="1"/>
    <n v="193"/>
    <n v="2"/>
    <x v="3"/>
    <x v="0"/>
    <n v="4"/>
    <n v="52"/>
    <n v="2"/>
    <n v="1"/>
    <x v="0"/>
    <n v="3867"/>
    <n v="14222"/>
    <n v="1"/>
    <n v="12"/>
    <n v="3"/>
    <n v="2"/>
    <n v="80"/>
    <n v="1"/>
    <n v="2"/>
    <n v="3"/>
    <n v="2"/>
    <n v="2"/>
    <n v="2"/>
    <n v="2"/>
  </r>
  <r>
    <s v="No"/>
    <s v="Travel_Frequently"/>
    <x v="1"/>
    <s v="Current Employees"/>
    <x v="1"/>
    <x v="2"/>
    <x v="930"/>
    <x v="930"/>
    <x v="0"/>
    <x v="2"/>
    <x v="0"/>
    <s v="No"/>
    <s v="Y"/>
    <n v="6"/>
    <n v="-2"/>
    <n v="0"/>
    <x v="31"/>
    <x v="1"/>
    <m/>
    <n v="0"/>
    <n v="1"/>
    <n v="968"/>
    <n v="6"/>
    <x v="0"/>
    <x v="0"/>
    <n v="2"/>
    <n v="40"/>
    <n v="2"/>
    <n v="1"/>
    <x v="2"/>
    <n v="2838"/>
    <n v="4257"/>
    <n v="0"/>
    <n v="14"/>
    <n v="3"/>
    <n v="2"/>
    <n v="80"/>
    <n v="0"/>
    <n v="8"/>
    <n v="2"/>
    <n v="7"/>
    <n v="0"/>
    <n v="7"/>
    <n v="7"/>
  </r>
  <r>
    <s v="No"/>
    <s v="Non-Travel"/>
    <x v="2"/>
    <s v="Current Employees"/>
    <x v="1"/>
    <x v="2"/>
    <x v="931"/>
    <x v="931"/>
    <x v="0"/>
    <x v="3"/>
    <x v="0"/>
    <s v="Yes"/>
    <s v="Y"/>
    <n v="3"/>
    <n v="-2"/>
    <n v="0"/>
    <x v="7"/>
    <x v="1"/>
    <m/>
    <n v="0"/>
    <n v="1"/>
    <n v="879"/>
    <n v="9"/>
    <x v="0"/>
    <x v="0"/>
    <n v="3"/>
    <n v="72"/>
    <n v="3"/>
    <n v="2"/>
    <x v="2"/>
    <n v="4695"/>
    <n v="12858"/>
    <n v="7"/>
    <n v="18"/>
    <n v="3"/>
    <n v="3"/>
    <n v="80"/>
    <n v="0"/>
    <n v="10"/>
    <n v="3"/>
    <n v="8"/>
    <n v="4"/>
    <n v="1"/>
    <n v="7"/>
  </r>
  <r>
    <s v="Yes"/>
    <s v="Travel_Rarely"/>
    <x v="2"/>
    <s v="Ex-Employees"/>
    <x v="1"/>
    <x v="4"/>
    <x v="932"/>
    <x v="932"/>
    <x v="0"/>
    <x v="2"/>
    <x v="2"/>
    <s v="Yes"/>
    <s v="Y"/>
    <n v="2"/>
    <n v="-2"/>
    <n v="0"/>
    <x v="11"/>
    <x v="0"/>
    <n v="1"/>
    <n v="1"/>
    <n v="0"/>
    <n v="806"/>
    <n v="7"/>
    <x v="3"/>
    <x v="0"/>
    <n v="4"/>
    <n v="39"/>
    <n v="3"/>
    <n v="1"/>
    <x v="0"/>
    <n v="3339"/>
    <n v="17285"/>
    <n v="3"/>
    <n v="13"/>
    <n v="3"/>
    <n v="1"/>
    <n v="80"/>
    <n v="2"/>
    <n v="10"/>
    <n v="3"/>
    <n v="7"/>
    <n v="7"/>
    <n v="7"/>
    <n v="7"/>
  </r>
  <r>
    <s v="No"/>
    <s v="Travel_Rarely"/>
    <x v="2"/>
    <s v="Current Employees"/>
    <x v="1"/>
    <x v="4"/>
    <x v="933"/>
    <x v="933"/>
    <x v="1"/>
    <x v="1"/>
    <x v="0"/>
    <s v="No"/>
    <s v="Y"/>
    <n v="2"/>
    <n v="-2"/>
    <n v="0"/>
    <x v="14"/>
    <x v="1"/>
    <m/>
    <n v="0"/>
    <n v="1"/>
    <n v="640"/>
    <n v="1"/>
    <x v="3"/>
    <x v="0"/>
    <n v="4"/>
    <n v="84"/>
    <n v="3"/>
    <n v="1"/>
    <x v="0"/>
    <n v="2080"/>
    <n v="4732"/>
    <n v="2"/>
    <n v="11"/>
    <n v="3"/>
    <n v="2"/>
    <n v="80"/>
    <n v="0"/>
    <n v="5"/>
    <n v="2"/>
    <n v="3"/>
    <n v="2"/>
    <n v="1"/>
    <n v="2"/>
  </r>
  <r>
    <s v="No"/>
    <s v="Travel_Rarely"/>
    <x v="2"/>
    <s v="Current Employees"/>
    <x v="1"/>
    <x v="2"/>
    <x v="934"/>
    <x v="934"/>
    <x v="0"/>
    <x v="1"/>
    <x v="0"/>
    <s v="No"/>
    <s v="Y"/>
    <n v="3"/>
    <n v="-2"/>
    <n v="0"/>
    <x v="36"/>
    <x v="1"/>
    <m/>
    <n v="0"/>
    <n v="1"/>
    <n v="266"/>
    <n v="1"/>
    <x v="3"/>
    <x v="0"/>
    <n v="4"/>
    <n v="40"/>
    <n v="3"/>
    <n v="1"/>
    <x v="1"/>
    <n v="2096"/>
    <n v="18830"/>
    <n v="1"/>
    <n v="18"/>
    <n v="3"/>
    <n v="4"/>
    <n v="80"/>
    <n v="0"/>
    <n v="2"/>
    <n v="2"/>
    <n v="2"/>
    <n v="2"/>
    <n v="2"/>
    <n v="1"/>
  </r>
  <r>
    <s v="No"/>
    <s v="Travel_Rarely"/>
    <x v="2"/>
    <s v="Current Employees"/>
    <x v="0"/>
    <x v="2"/>
    <x v="935"/>
    <x v="935"/>
    <x v="1"/>
    <x v="0"/>
    <x v="1"/>
    <s v="No"/>
    <s v="Y"/>
    <n v="4"/>
    <n v="-2"/>
    <n v="0"/>
    <x v="5"/>
    <x v="1"/>
    <m/>
    <n v="0"/>
    <n v="1"/>
    <n v="604"/>
    <n v="8"/>
    <x v="3"/>
    <x v="0"/>
    <n v="3"/>
    <n v="56"/>
    <n v="4"/>
    <n v="2"/>
    <x v="0"/>
    <n v="6209"/>
    <n v="11693"/>
    <n v="1"/>
    <n v="15"/>
    <n v="3"/>
    <n v="3"/>
    <n v="80"/>
    <n v="2"/>
    <n v="10"/>
    <n v="4"/>
    <n v="10"/>
    <n v="7"/>
    <n v="0"/>
    <n v="8"/>
  </r>
  <r>
    <s v="No"/>
    <s v="Travel_Frequently"/>
    <x v="1"/>
    <s v="Current Employees"/>
    <x v="1"/>
    <x v="2"/>
    <x v="936"/>
    <x v="936"/>
    <x v="0"/>
    <x v="5"/>
    <x v="0"/>
    <s v="No"/>
    <s v="Y"/>
    <n v="4"/>
    <n v="-2"/>
    <n v="0"/>
    <x v="28"/>
    <x v="1"/>
    <m/>
    <n v="0"/>
    <n v="1"/>
    <n v="364"/>
    <n v="25"/>
    <x v="3"/>
    <x v="0"/>
    <n v="2"/>
    <n v="83"/>
    <n v="3"/>
    <n v="5"/>
    <x v="1"/>
    <n v="18061"/>
    <n v="13035"/>
    <n v="3"/>
    <n v="22"/>
    <n v="4"/>
    <n v="3"/>
    <n v="80"/>
    <n v="0"/>
    <n v="22"/>
    <n v="3"/>
    <n v="0"/>
    <n v="0"/>
    <n v="0"/>
    <n v="0"/>
  </r>
  <r>
    <s v="No"/>
    <s v="Travel_Rarely"/>
    <x v="0"/>
    <s v="Current Employees"/>
    <x v="1"/>
    <x v="2"/>
    <x v="937"/>
    <x v="937"/>
    <x v="0"/>
    <x v="5"/>
    <x v="2"/>
    <s v="Yes"/>
    <s v="Y"/>
    <n v="4"/>
    <n v="-2"/>
    <n v="0"/>
    <x v="22"/>
    <x v="1"/>
    <m/>
    <n v="0"/>
    <n v="1"/>
    <n v="412"/>
    <n v="13"/>
    <x v="2"/>
    <x v="0"/>
    <n v="3"/>
    <n v="94"/>
    <n v="2"/>
    <n v="4"/>
    <x v="1"/>
    <n v="17123"/>
    <n v="17334"/>
    <n v="6"/>
    <n v="13"/>
    <n v="3"/>
    <n v="4"/>
    <n v="80"/>
    <n v="2"/>
    <n v="21"/>
    <n v="3"/>
    <n v="19"/>
    <n v="9"/>
    <n v="15"/>
    <n v="2"/>
  </r>
  <r>
    <s v="No"/>
    <s v="Travel_Rarely"/>
    <x v="3"/>
    <s v="Current Employees"/>
    <x v="1"/>
    <x v="0"/>
    <x v="938"/>
    <x v="938"/>
    <x v="1"/>
    <x v="1"/>
    <x v="2"/>
    <s v="No"/>
    <s v="Y"/>
    <n v="3"/>
    <n v="-2"/>
    <n v="0"/>
    <x v="34"/>
    <x v="1"/>
    <m/>
    <n v="0"/>
    <n v="1"/>
    <n v="848"/>
    <n v="23"/>
    <x v="2"/>
    <x v="0"/>
    <n v="1"/>
    <n v="88"/>
    <n v="3"/>
    <n v="1"/>
    <x v="2"/>
    <n v="2372"/>
    <n v="26076"/>
    <n v="1"/>
    <n v="12"/>
    <n v="3"/>
    <n v="4"/>
    <n v="80"/>
    <n v="2"/>
    <n v="2"/>
    <n v="3"/>
    <n v="2"/>
    <n v="2"/>
    <n v="2"/>
    <n v="2"/>
  </r>
  <r>
    <s v="Yes"/>
    <s v="Travel_Rarely"/>
    <x v="2"/>
    <s v="Ex-Employees"/>
    <x v="1"/>
    <x v="0"/>
    <x v="939"/>
    <x v="939"/>
    <x v="1"/>
    <x v="2"/>
    <x v="1"/>
    <s v="No"/>
    <s v="Y"/>
    <n v="3"/>
    <n v="-2"/>
    <n v="0"/>
    <x v="5"/>
    <x v="0"/>
    <n v="1"/>
    <n v="1"/>
    <n v="0"/>
    <n v="1089"/>
    <n v="7"/>
    <x v="0"/>
    <x v="0"/>
    <n v="4"/>
    <n v="79"/>
    <n v="3"/>
    <n v="2"/>
    <x v="2"/>
    <n v="4883"/>
    <n v="22845"/>
    <n v="1"/>
    <n v="18"/>
    <n v="3"/>
    <n v="1"/>
    <n v="80"/>
    <n v="1"/>
    <n v="10"/>
    <n v="3"/>
    <n v="10"/>
    <n v="4"/>
    <n v="1"/>
    <n v="1"/>
  </r>
  <r>
    <s v="Yes"/>
    <s v="Travel_Rarely"/>
    <x v="0"/>
    <s v="Ex-Employees"/>
    <x v="1"/>
    <x v="2"/>
    <x v="940"/>
    <x v="940"/>
    <x v="1"/>
    <x v="1"/>
    <x v="0"/>
    <s v="No"/>
    <s v="Y"/>
    <n v="2"/>
    <n v="-2"/>
    <n v="0"/>
    <x v="22"/>
    <x v="0"/>
    <n v="1"/>
    <n v="1"/>
    <n v="0"/>
    <n v="360"/>
    <n v="23"/>
    <x v="3"/>
    <x v="0"/>
    <n v="3"/>
    <n v="93"/>
    <n v="3"/>
    <n v="1"/>
    <x v="2"/>
    <n v="3904"/>
    <n v="22154"/>
    <n v="0"/>
    <n v="13"/>
    <n v="3"/>
    <n v="1"/>
    <n v="80"/>
    <n v="0"/>
    <n v="6"/>
    <n v="3"/>
    <n v="5"/>
    <n v="2"/>
    <n v="0"/>
    <n v="3"/>
  </r>
  <r>
    <s v="No"/>
    <s v="Travel_Rarely"/>
    <x v="2"/>
    <s v="Current Employees"/>
    <x v="1"/>
    <x v="4"/>
    <x v="941"/>
    <x v="941"/>
    <x v="0"/>
    <x v="2"/>
    <x v="1"/>
    <s v="No"/>
    <s v="Y"/>
    <n v="6"/>
    <n v="-2"/>
    <n v="0"/>
    <x v="7"/>
    <x v="1"/>
    <m/>
    <n v="0"/>
    <n v="1"/>
    <n v="1138"/>
    <n v="6"/>
    <x v="3"/>
    <x v="0"/>
    <n v="4"/>
    <n v="48"/>
    <n v="2"/>
    <n v="2"/>
    <x v="0"/>
    <n v="4627"/>
    <n v="23631"/>
    <n v="0"/>
    <n v="12"/>
    <n v="3"/>
    <n v="1"/>
    <n v="80"/>
    <n v="1"/>
    <n v="10"/>
    <n v="3"/>
    <n v="9"/>
    <n v="2"/>
    <n v="6"/>
    <n v="7"/>
  </r>
  <r>
    <s v="No"/>
    <s v="Travel_Rarely"/>
    <x v="0"/>
    <s v="Current Employees"/>
    <x v="1"/>
    <x v="4"/>
    <x v="942"/>
    <x v="942"/>
    <x v="0"/>
    <x v="4"/>
    <x v="1"/>
    <s v="No"/>
    <s v="Y"/>
    <n v="0"/>
    <n v="-2"/>
    <n v="0"/>
    <x v="9"/>
    <x v="1"/>
    <m/>
    <n v="0"/>
    <n v="1"/>
    <n v="325"/>
    <n v="10"/>
    <x v="2"/>
    <x v="0"/>
    <n v="4"/>
    <n v="63"/>
    <n v="3"/>
    <n v="3"/>
    <x v="0"/>
    <n v="7094"/>
    <n v="5747"/>
    <n v="3"/>
    <n v="12"/>
    <n v="3"/>
    <n v="1"/>
    <n v="80"/>
    <n v="0"/>
    <n v="10"/>
    <n v="3"/>
    <n v="7"/>
    <n v="7"/>
    <n v="1"/>
    <n v="7"/>
  </r>
  <r>
    <s v="No"/>
    <s v="Travel_Rarely"/>
    <x v="1"/>
    <s v="Current Employees"/>
    <x v="2"/>
    <x v="0"/>
    <x v="943"/>
    <x v="943"/>
    <x v="0"/>
    <x v="8"/>
    <x v="0"/>
    <s v="No"/>
    <s v="Y"/>
    <n v="3"/>
    <n v="-2"/>
    <n v="0"/>
    <x v="21"/>
    <x v="1"/>
    <m/>
    <n v="0"/>
    <n v="1"/>
    <n v="991"/>
    <n v="1"/>
    <x v="0"/>
    <x v="0"/>
    <n v="4"/>
    <n v="44"/>
    <n v="3"/>
    <n v="1"/>
    <x v="2"/>
    <n v="3423"/>
    <n v="22957"/>
    <n v="6"/>
    <n v="12"/>
    <n v="3"/>
    <n v="3"/>
    <n v="80"/>
    <n v="0"/>
    <n v="10"/>
    <n v="4"/>
    <n v="7"/>
    <n v="6"/>
    <n v="5"/>
    <n v="7"/>
  </r>
  <r>
    <s v="No"/>
    <s v="Non-Travel"/>
    <x v="2"/>
    <s v="Current Employees"/>
    <x v="1"/>
    <x v="0"/>
    <x v="944"/>
    <x v="944"/>
    <x v="0"/>
    <x v="2"/>
    <x v="1"/>
    <s v="No"/>
    <s v="Y"/>
    <n v="6"/>
    <n v="-2"/>
    <n v="0"/>
    <x v="14"/>
    <x v="1"/>
    <m/>
    <n v="0"/>
    <n v="1"/>
    <n v="1476"/>
    <n v="1"/>
    <x v="3"/>
    <x v="0"/>
    <n v="3"/>
    <n v="55"/>
    <n v="1"/>
    <n v="2"/>
    <x v="0"/>
    <n v="6674"/>
    <n v="16392"/>
    <n v="0"/>
    <n v="11"/>
    <n v="3"/>
    <n v="1"/>
    <n v="80"/>
    <n v="3"/>
    <n v="10"/>
    <n v="3"/>
    <n v="9"/>
    <n v="8"/>
    <n v="7"/>
    <n v="5"/>
  </r>
  <r>
    <s v="No"/>
    <s v="Travel_Rarely"/>
    <x v="1"/>
    <s v="Current Employees"/>
    <x v="1"/>
    <x v="0"/>
    <x v="945"/>
    <x v="945"/>
    <x v="0"/>
    <x v="7"/>
    <x v="1"/>
    <s v="Yes"/>
    <s v="Y"/>
    <n v="2"/>
    <n v="-2"/>
    <n v="0"/>
    <x v="24"/>
    <x v="1"/>
    <m/>
    <n v="0"/>
    <n v="1"/>
    <n v="1322"/>
    <n v="28"/>
    <x v="3"/>
    <x v="0"/>
    <n v="4"/>
    <n v="43"/>
    <n v="3"/>
    <n v="4"/>
    <x v="2"/>
    <n v="16880"/>
    <n v="22422"/>
    <n v="4"/>
    <n v="11"/>
    <n v="3"/>
    <n v="2"/>
    <n v="80"/>
    <n v="0"/>
    <n v="25"/>
    <n v="3"/>
    <n v="3"/>
    <n v="2"/>
    <n v="1"/>
    <n v="2"/>
  </r>
  <r>
    <s v="Yes"/>
    <s v="Travel_Rarely"/>
    <x v="0"/>
    <s v="Ex-Employees"/>
    <x v="0"/>
    <x v="3"/>
    <x v="946"/>
    <x v="946"/>
    <x v="1"/>
    <x v="0"/>
    <x v="0"/>
    <s v="Yes"/>
    <s v="Y"/>
    <n v="2"/>
    <n v="-2"/>
    <n v="0"/>
    <x v="32"/>
    <x v="0"/>
    <n v="1"/>
    <n v="1"/>
    <n v="0"/>
    <n v="299"/>
    <n v="25"/>
    <x v="2"/>
    <x v="0"/>
    <n v="4"/>
    <n v="57"/>
    <n v="2"/>
    <n v="3"/>
    <x v="1"/>
    <n v="9094"/>
    <n v="17235"/>
    <n v="2"/>
    <n v="12"/>
    <n v="3"/>
    <n v="3"/>
    <n v="80"/>
    <n v="0"/>
    <n v="9"/>
    <n v="3"/>
    <n v="5"/>
    <n v="4"/>
    <n v="1"/>
    <n v="0"/>
  </r>
  <r>
    <s v="Yes"/>
    <s v="Travel_Rarely"/>
    <x v="1"/>
    <s v="Ex-Employees"/>
    <x v="0"/>
    <x v="0"/>
    <x v="947"/>
    <x v="947"/>
    <x v="1"/>
    <x v="0"/>
    <x v="0"/>
    <s v="Yes"/>
    <s v="Y"/>
    <n v="2"/>
    <n v="-2"/>
    <n v="0"/>
    <x v="39"/>
    <x v="0"/>
    <n v="1"/>
    <n v="1"/>
    <n v="0"/>
    <n v="1030"/>
    <n v="5"/>
    <x v="3"/>
    <x v="0"/>
    <n v="2"/>
    <n v="64"/>
    <n v="3"/>
    <n v="3"/>
    <x v="1"/>
    <n v="8446"/>
    <n v="21534"/>
    <n v="9"/>
    <n v="19"/>
    <n v="3"/>
    <n v="3"/>
    <n v="80"/>
    <n v="0"/>
    <n v="10"/>
    <n v="2"/>
    <n v="8"/>
    <n v="7"/>
    <n v="7"/>
    <n v="7"/>
  </r>
  <r>
    <s v="No"/>
    <s v="Travel_Rarely"/>
    <x v="2"/>
    <s v="Current Employees"/>
    <x v="1"/>
    <x v="2"/>
    <x v="948"/>
    <x v="948"/>
    <x v="0"/>
    <x v="5"/>
    <x v="1"/>
    <s v="Yes"/>
    <s v="Y"/>
    <n v="2"/>
    <n v="-2"/>
    <n v="0"/>
    <x v="7"/>
    <x v="1"/>
    <m/>
    <n v="0"/>
    <n v="1"/>
    <n v="634"/>
    <n v="17"/>
    <x v="2"/>
    <x v="0"/>
    <n v="2"/>
    <n v="95"/>
    <n v="3"/>
    <n v="3"/>
    <x v="2"/>
    <n v="11916"/>
    <n v="25927"/>
    <n v="1"/>
    <n v="23"/>
    <n v="4"/>
    <n v="4"/>
    <n v="80"/>
    <n v="2"/>
    <n v="9"/>
    <n v="3"/>
    <n v="9"/>
    <n v="1"/>
    <n v="0"/>
    <n v="8"/>
  </r>
  <r>
    <s v="No"/>
    <s v="Travel_Rarely"/>
    <x v="0"/>
    <s v="Current Employees"/>
    <x v="1"/>
    <x v="0"/>
    <x v="949"/>
    <x v="949"/>
    <x v="1"/>
    <x v="3"/>
    <x v="0"/>
    <s v="No"/>
    <s v="Y"/>
    <n v="6"/>
    <n v="-2"/>
    <n v="0"/>
    <x v="22"/>
    <x v="1"/>
    <m/>
    <n v="0"/>
    <n v="1"/>
    <n v="524"/>
    <n v="18"/>
    <x v="0"/>
    <x v="0"/>
    <n v="1"/>
    <n v="32"/>
    <n v="3"/>
    <n v="2"/>
    <x v="2"/>
    <n v="4534"/>
    <n v="13352"/>
    <n v="0"/>
    <n v="11"/>
    <n v="3"/>
    <n v="1"/>
    <n v="80"/>
    <n v="0"/>
    <n v="9"/>
    <n v="3"/>
    <n v="8"/>
    <n v="7"/>
    <n v="1"/>
    <n v="7"/>
  </r>
  <r>
    <s v="No"/>
    <s v="Non-Travel"/>
    <x v="2"/>
    <s v="Current Employees"/>
    <x v="0"/>
    <x v="0"/>
    <x v="950"/>
    <x v="950"/>
    <x v="0"/>
    <x v="0"/>
    <x v="2"/>
    <s v="Yes"/>
    <s v="Y"/>
    <n v="5"/>
    <n v="-2"/>
    <n v="0"/>
    <x v="12"/>
    <x v="1"/>
    <m/>
    <n v="0"/>
    <n v="1"/>
    <n v="587"/>
    <n v="2"/>
    <x v="2"/>
    <x v="0"/>
    <n v="4"/>
    <n v="57"/>
    <n v="3"/>
    <n v="3"/>
    <x v="2"/>
    <n v="9852"/>
    <n v="8935"/>
    <n v="1"/>
    <n v="19"/>
    <n v="3"/>
    <n v="1"/>
    <n v="80"/>
    <n v="1"/>
    <n v="10"/>
    <n v="2"/>
    <n v="10"/>
    <n v="8"/>
    <n v="9"/>
    <n v="6"/>
  </r>
  <r>
    <s v="No"/>
    <s v="Non-Travel"/>
    <x v="0"/>
    <s v="Current Employees"/>
    <x v="0"/>
    <x v="2"/>
    <x v="951"/>
    <x v="951"/>
    <x v="1"/>
    <x v="0"/>
    <x v="0"/>
    <s v="No"/>
    <s v="Y"/>
    <n v="4"/>
    <n v="-2"/>
    <n v="0"/>
    <x v="0"/>
    <x v="1"/>
    <m/>
    <n v="0"/>
    <n v="1"/>
    <n v="256"/>
    <n v="10"/>
    <x v="0"/>
    <x v="0"/>
    <n v="3"/>
    <n v="40"/>
    <n v="1"/>
    <n v="2"/>
    <x v="1"/>
    <n v="6151"/>
    <n v="22074"/>
    <n v="1"/>
    <n v="13"/>
    <n v="3"/>
    <n v="1"/>
    <n v="80"/>
    <n v="0"/>
    <n v="19"/>
    <n v="3"/>
    <n v="19"/>
    <n v="2"/>
    <n v="11"/>
    <n v="9"/>
  </r>
  <r>
    <s v="Yes"/>
    <s v="Travel_Frequently"/>
    <x v="2"/>
    <s v="Ex-Employees"/>
    <x v="0"/>
    <x v="0"/>
    <x v="952"/>
    <x v="952"/>
    <x v="0"/>
    <x v="6"/>
    <x v="0"/>
    <s v="Yes"/>
    <s v="Y"/>
    <n v="2"/>
    <n v="-2"/>
    <n v="0"/>
    <x v="12"/>
    <x v="0"/>
    <n v="1"/>
    <n v="1"/>
    <n v="0"/>
    <n v="1060"/>
    <n v="1"/>
    <x v="3"/>
    <x v="0"/>
    <n v="4"/>
    <n v="54"/>
    <n v="3"/>
    <n v="1"/>
    <x v="1"/>
    <n v="2302"/>
    <n v="8319"/>
    <n v="1"/>
    <n v="11"/>
    <n v="3"/>
    <n v="1"/>
    <n v="80"/>
    <n v="0"/>
    <n v="3"/>
    <n v="4"/>
    <n v="3"/>
    <n v="2"/>
    <n v="2"/>
    <n v="2"/>
  </r>
  <r>
    <s v="Yes"/>
    <s v="Travel_Rarely"/>
    <x v="0"/>
    <s v="Ex-Employees"/>
    <x v="1"/>
    <x v="0"/>
    <x v="953"/>
    <x v="953"/>
    <x v="1"/>
    <x v="2"/>
    <x v="1"/>
    <s v="No"/>
    <s v="Y"/>
    <n v="4"/>
    <n v="-2"/>
    <n v="0"/>
    <x v="20"/>
    <x v="0"/>
    <n v="1"/>
    <n v="1"/>
    <n v="0"/>
    <n v="935"/>
    <n v="3"/>
    <x v="3"/>
    <x v="0"/>
    <n v="1"/>
    <n v="89"/>
    <n v="3"/>
    <n v="1"/>
    <x v="2"/>
    <n v="2362"/>
    <n v="14669"/>
    <n v="4"/>
    <n v="12"/>
    <n v="3"/>
    <n v="3"/>
    <n v="80"/>
    <n v="0"/>
    <n v="10"/>
    <n v="4"/>
    <n v="3"/>
    <n v="2"/>
    <n v="1"/>
    <n v="2"/>
  </r>
  <r>
    <s v="No"/>
    <s v="Non-Travel"/>
    <x v="0"/>
    <s v="Current Employees"/>
    <x v="1"/>
    <x v="0"/>
    <x v="954"/>
    <x v="954"/>
    <x v="1"/>
    <x v="5"/>
    <x v="1"/>
    <s v="Yes"/>
    <s v="Y"/>
    <n v="3"/>
    <n v="-2"/>
    <n v="0"/>
    <x v="19"/>
    <x v="1"/>
    <m/>
    <n v="0"/>
    <n v="1"/>
    <n v="495"/>
    <n v="2"/>
    <x v="1"/>
    <x v="0"/>
    <n v="3"/>
    <n v="37"/>
    <n v="3"/>
    <n v="4"/>
    <x v="2"/>
    <n v="17861"/>
    <n v="26582"/>
    <n v="0"/>
    <n v="13"/>
    <n v="3"/>
    <n v="4"/>
    <n v="80"/>
    <n v="0"/>
    <n v="21"/>
    <n v="2"/>
    <n v="20"/>
    <n v="8"/>
    <n v="2"/>
    <n v="10"/>
  </r>
  <r>
    <s v="No"/>
    <s v="Travel_Rarely"/>
    <x v="3"/>
    <s v="Current Employees"/>
    <x v="1"/>
    <x v="2"/>
    <x v="955"/>
    <x v="955"/>
    <x v="0"/>
    <x v="5"/>
    <x v="1"/>
    <s v="No"/>
    <s v="Y"/>
    <n v="5"/>
    <n v="-2"/>
    <n v="0"/>
    <x v="27"/>
    <x v="1"/>
    <m/>
    <n v="0"/>
    <n v="1"/>
    <n v="282"/>
    <n v="2"/>
    <x v="0"/>
    <x v="0"/>
    <n v="4"/>
    <n v="58"/>
    <n v="1"/>
    <n v="5"/>
    <x v="2"/>
    <n v="19187"/>
    <n v="6992"/>
    <n v="4"/>
    <n v="14"/>
    <n v="3"/>
    <n v="4"/>
    <n v="80"/>
    <n v="1"/>
    <n v="23"/>
    <n v="3"/>
    <n v="19"/>
    <n v="9"/>
    <n v="9"/>
    <n v="11"/>
  </r>
  <r>
    <s v="No"/>
    <s v="Travel_Rarely"/>
    <x v="3"/>
    <s v="Current Employees"/>
    <x v="2"/>
    <x v="0"/>
    <x v="956"/>
    <x v="956"/>
    <x v="1"/>
    <x v="5"/>
    <x v="0"/>
    <s v="No"/>
    <s v="Y"/>
    <n v="4"/>
    <n v="-2"/>
    <n v="0"/>
    <x v="29"/>
    <x v="1"/>
    <m/>
    <n v="0"/>
    <n v="1"/>
    <n v="206"/>
    <n v="8"/>
    <x v="2"/>
    <x v="0"/>
    <n v="4"/>
    <n v="99"/>
    <n v="3"/>
    <n v="5"/>
    <x v="1"/>
    <n v="19717"/>
    <n v="4022"/>
    <n v="6"/>
    <n v="14"/>
    <n v="3"/>
    <n v="1"/>
    <n v="80"/>
    <n v="0"/>
    <n v="36"/>
    <n v="3"/>
    <n v="7"/>
    <n v="3"/>
    <n v="7"/>
    <n v="7"/>
  </r>
  <r>
    <s v="No"/>
    <s v="Non-Travel"/>
    <x v="0"/>
    <s v="Current Employees"/>
    <x v="1"/>
    <x v="0"/>
    <x v="957"/>
    <x v="957"/>
    <x v="1"/>
    <x v="1"/>
    <x v="2"/>
    <s v="No"/>
    <s v="Y"/>
    <n v="0"/>
    <n v="-2"/>
    <n v="0"/>
    <x v="32"/>
    <x v="1"/>
    <m/>
    <n v="0"/>
    <n v="1"/>
    <n v="458"/>
    <n v="16"/>
    <x v="0"/>
    <x v="0"/>
    <n v="3"/>
    <n v="74"/>
    <n v="3"/>
    <n v="1"/>
    <x v="2"/>
    <n v="3544"/>
    <n v="8532"/>
    <n v="9"/>
    <n v="16"/>
    <n v="3"/>
    <n v="2"/>
    <n v="80"/>
    <n v="1"/>
    <n v="6"/>
    <n v="3"/>
    <n v="4"/>
    <n v="2"/>
    <n v="0"/>
    <n v="0"/>
  </r>
  <r>
    <s v="No"/>
    <s v="Travel_Rarely"/>
    <x v="2"/>
    <s v="Current Employees"/>
    <x v="1"/>
    <x v="0"/>
    <x v="958"/>
    <x v="958"/>
    <x v="1"/>
    <x v="4"/>
    <x v="2"/>
    <s v="No"/>
    <s v="Y"/>
    <n v="0"/>
    <n v="-2"/>
    <n v="0"/>
    <x v="13"/>
    <x v="1"/>
    <m/>
    <n v="0"/>
    <n v="1"/>
    <n v="943"/>
    <n v="9"/>
    <x v="3"/>
    <x v="0"/>
    <n v="4"/>
    <n v="86"/>
    <n v="3"/>
    <n v="3"/>
    <x v="0"/>
    <n v="8500"/>
    <n v="5494"/>
    <n v="0"/>
    <n v="11"/>
    <n v="3"/>
    <n v="4"/>
    <n v="80"/>
    <n v="1"/>
    <n v="10"/>
    <n v="2"/>
    <n v="9"/>
    <n v="7"/>
    <n v="1"/>
    <n v="6"/>
  </r>
  <r>
    <s v="No"/>
    <s v="Travel_Rarely"/>
    <x v="0"/>
    <s v="Current Employees"/>
    <x v="1"/>
    <x v="0"/>
    <x v="959"/>
    <x v="959"/>
    <x v="1"/>
    <x v="1"/>
    <x v="0"/>
    <s v="No"/>
    <s v="Y"/>
    <n v="4"/>
    <n v="-2"/>
    <n v="0"/>
    <x v="32"/>
    <x v="1"/>
    <m/>
    <n v="0"/>
    <n v="1"/>
    <n v="523"/>
    <n v="2"/>
    <x v="3"/>
    <x v="0"/>
    <n v="3"/>
    <n v="98"/>
    <n v="3"/>
    <n v="2"/>
    <x v="0"/>
    <n v="4661"/>
    <n v="22455"/>
    <n v="1"/>
    <n v="13"/>
    <n v="3"/>
    <n v="3"/>
    <n v="80"/>
    <n v="0"/>
    <n v="9"/>
    <n v="3"/>
    <n v="9"/>
    <n v="8"/>
    <n v="8"/>
    <n v="8"/>
  </r>
  <r>
    <s v="No"/>
    <s v="Travel_Frequently"/>
    <x v="0"/>
    <s v="Current Employees"/>
    <x v="0"/>
    <x v="3"/>
    <x v="960"/>
    <x v="960"/>
    <x v="0"/>
    <x v="0"/>
    <x v="2"/>
    <s v="No"/>
    <s v="Y"/>
    <n v="2"/>
    <n v="-2"/>
    <n v="0"/>
    <x v="0"/>
    <x v="1"/>
    <m/>
    <n v="0"/>
    <n v="1"/>
    <n v="1018"/>
    <n v="1"/>
    <x v="3"/>
    <x v="0"/>
    <n v="3"/>
    <n v="66"/>
    <n v="3"/>
    <n v="2"/>
    <x v="1"/>
    <n v="4103"/>
    <n v="4297"/>
    <n v="0"/>
    <n v="17"/>
    <n v="3"/>
    <n v="4"/>
    <n v="80"/>
    <n v="1"/>
    <n v="10"/>
    <n v="3"/>
    <n v="9"/>
    <n v="3"/>
    <n v="1"/>
    <n v="7"/>
  </r>
  <r>
    <s v="No"/>
    <s v="Travel_Frequently"/>
    <x v="0"/>
    <s v="Current Employees"/>
    <x v="1"/>
    <x v="0"/>
    <x v="961"/>
    <x v="961"/>
    <x v="1"/>
    <x v="1"/>
    <x v="0"/>
    <s v="Yes"/>
    <s v="Y"/>
    <n v="3"/>
    <n v="-2"/>
    <n v="0"/>
    <x v="10"/>
    <x v="1"/>
    <m/>
    <n v="0"/>
    <n v="1"/>
    <n v="482"/>
    <n v="4"/>
    <x v="2"/>
    <x v="0"/>
    <n v="3"/>
    <n v="87"/>
    <n v="3"/>
    <n v="2"/>
    <x v="2"/>
    <n v="4249"/>
    <n v="2690"/>
    <n v="1"/>
    <n v="11"/>
    <n v="3"/>
    <n v="2"/>
    <n v="80"/>
    <n v="0"/>
    <n v="9"/>
    <n v="3"/>
    <n v="9"/>
    <n v="6"/>
    <n v="1"/>
    <n v="1"/>
  </r>
  <r>
    <s v="No"/>
    <s v="Travel_Rarely"/>
    <x v="1"/>
    <s v="Current Employees"/>
    <x v="2"/>
    <x v="0"/>
    <x v="962"/>
    <x v="962"/>
    <x v="1"/>
    <x v="5"/>
    <x v="2"/>
    <s v="Yes"/>
    <s v="Y"/>
    <n v="2"/>
    <n v="-2"/>
    <n v="0"/>
    <x v="31"/>
    <x v="1"/>
    <m/>
    <n v="0"/>
    <n v="1"/>
    <n v="770"/>
    <n v="5"/>
    <x v="3"/>
    <x v="0"/>
    <n v="3"/>
    <n v="84"/>
    <n v="3"/>
    <n v="4"/>
    <x v="1"/>
    <n v="14026"/>
    <n v="17588"/>
    <n v="1"/>
    <n v="11"/>
    <n v="3"/>
    <n v="2"/>
    <n v="80"/>
    <n v="1"/>
    <n v="33"/>
    <n v="3"/>
    <n v="33"/>
    <n v="9"/>
    <n v="0"/>
    <n v="10"/>
  </r>
  <r>
    <s v="No"/>
    <s v="Travel_Rarely"/>
    <x v="0"/>
    <s v="Current Employees"/>
    <x v="0"/>
    <x v="0"/>
    <x v="963"/>
    <x v="963"/>
    <x v="0"/>
    <x v="0"/>
    <x v="2"/>
    <s v="No"/>
    <s v="Y"/>
    <n v="3"/>
    <n v="-2"/>
    <n v="0"/>
    <x v="8"/>
    <x v="1"/>
    <m/>
    <n v="0"/>
    <n v="1"/>
    <n v="1009"/>
    <n v="2"/>
    <x v="0"/>
    <x v="0"/>
    <n v="2"/>
    <n v="31"/>
    <n v="3"/>
    <n v="2"/>
    <x v="2"/>
    <n v="6893"/>
    <n v="19461"/>
    <n v="3"/>
    <n v="15"/>
    <n v="3"/>
    <n v="4"/>
    <n v="80"/>
    <n v="1"/>
    <n v="11"/>
    <n v="3"/>
    <n v="7"/>
    <n v="7"/>
    <n v="1"/>
    <n v="7"/>
  </r>
  <r>
    <s v="No"/>
    <s v="Travel_Rarely"/>
    <x v="2"/>
    <s v="Current Employees"/>
    <x v="0"/>
    <x v="2"/>
    <x v="964"/>
    <x v="964"/>
    <x v="0"/>
    <x v="0"/>
    <x v="0"/>
    <s v="No"/>
    <s v="Y"/>
    <n v="6"/>
    <n v="-2"/>
    <n v="0"/>
    <x v="13"/>
    <x v="1"/>
    <m/>
    <n v="0"/>
    <n v="1"/>
    <n v="507"/>
    <n v="15"/>
    <x v="0"/>
    <x v="0"/>
    <n v="3"/>
    <n v="66"/>
    <n v="3"/>
    <n v="2"/>
    <x v="2"/>
    <n v="6125"/>
    <n v="23553"/>
    <n v="1"/>
    <n v="12"/>
    <n v="3"/>
    <n v="4"/>
    <n v="80"/>
    <n v="0"/>
    <n v="10"/>
    <n v="4"/>
    <n v="10"/>
    <n v="8"/>
    <n v="9"/>
    <n v="6"/>
  </r>
  <r>
    <s v="No"/>
    <s v="Travel_Rarely"/>
    <x v="2"/>
    <s v="Current Employees"/>
    <x v="1"/>
    <x v="2"/>
    <x v="965"/>
    <x v="965"/>
    <x v="1"/>
    <x v="2"/>
    <x v="1"/>
    <s v="No"/>
    <s v="Y"/>
    <n v="6"/>
    <n v="-2"/>
    <n v="0"/>
    <x v="36"/>
    <x v="1"/>
    <m/>
    <n v="0"/>
    <n v="1"/>
    <n v="882"/>
    <n v="19"/>
    <x v="1"/>
    <x v="0"/>
    <n v="4"/>
    <n v="67"/>
    <n v="3"/>
    <n v="1"/>
    <x v="0"/>
    <n v="3669"/>
    <n v="9075"/>
    <n v="3"/>
    <n v="11"/>
    <n v="3"/>
    <n v="3"/>
    <n v="80"/>
    <n v="3"/>
    <n v="7"/>
    <n v="2"/>
    <n v="3"/>
    <n v="2"/>
    <n v="1"/>
    <n v="2"/>
  </r>
  <r>
    <s v="Yes"/>
    <s v="Travel_Rarely"/>
    <x v="3"/>
    <s v="Ex-Employees"/>
    <x v="1"/>
    <x v="2"/>
    <x v="966"/>
    <x v="966"/>
    <x v="0"/>
    <x v="3"/>
    <x v="1"/>
    <s v="Yes"/>
    <s v="Y"/>
    <n v="0"/>
    <n v="-2"/>
    <n v="0"/>
    <x v="34"/>
    <x v="0"/>
    <n v="1"/>
    <n v="1"/>
    <n v="0"/>
    <n v="601"/>
    <n v="7"/>
    <x v="2"/>
    <x v="0"/>
    <n v="3"/>
    <n v="53"/>
    <n v="2"/>
    <n v="3"/>
    <x v="2"/>
    <n v="10008"/>
    <n v="12023"/>
    <n v="7"/>
    <n v="14"/>
    <n v="3"/>
    <n v="4"/>
    <n v="80"/>
    <n v="0"/>
    <n v="31"/>
    <n v="2"/>
    <n v="10"/>
    <n v="9"/>
    <n v="5"/>
    <n v="9"/>
  </r>
  <r>
    <s v="No"/>
    <s v="Travel_Rarely"/>
    <x v="0"/>
    <s v="Current Employees"/>
    <x v="1"/>
    <x v="0"/>
    <x v="967"/>
    <x v="967"/>
    <x v="1"/>
    <x v="2"/>
    <x v="1"/>
    <s v="No"/>
    <s v="Y"/>
    <n v="3"/>
    <n v="-2"/>
    <n v="0"/>
    <x v="32"/>
    <x v="1"/>
    <m/>
    <n v="0"/>
    <n v="1"/>
    <n v="329"/>
    <n v="1"/>
    <x v="2"/>
    <x v="0"/>
    <n v="2"/>
    <n v="88"/>
    <n v="3"/>
    <n v="1"/>
    <x v="1"/>
    <n v="2387"/>
    <n v="6762"/>
    <n v="3"/>
    <n v="22"/>
    <n v="4"/>
    <n v="3"/>
    <n v="80"/>
    <n v="1"/>
    <n v="7"/>
    <n v="3"/>
    <n v="4"/>
    <n v="2"/>
    <n v="0"/>
    <n v="3"/>
  </r>
  <r>
    <s v="No"/>
    <s v="Travel_Frequently"/>
    <x v="0"/>
    <s v="Current Employees"/>
    <x v="0"/>
    <x v="3"/>
    <x v="968"/>
    <x v="968"/>
    <x v="0"/>
    <x v="0"/>
    <x v="1"/>
    <s v="No"/>
    <s v="Y"/>
    <n v="2"/>
    <n v="-2"/>
    <n v="0"/>
    <x v="9"/>
    <x v="1"/>
    <m/>
    <n v="0"/>
    <n v="1"/>
    <n v="607"/>
    <n v="7"/>
    <x v="3"/>
    <x v="0"/>
    <n v="1"/>
    <n v="83"/>
    <n v="4"/>
    <n v="2"/>
    <x v="1"/>
    <n v="4639"/>
    <n v="2261"/>
    <n v="2"/>
    <n v="16"/>
    <n v="3"/>
    <n v="4"/>
    <n v="80"/>
    <n v="1"/>
    <n v="17"/>
    <n v="2"/>
    <n v="15"/>
    <n v="7"/>
    <n v="6"/>
    <n v="13"/>
  </r>
  <r>
    <s v="No"/>
    <s v="Travel_Rarely"/>
    <x v="1"/>
    <s v="Current Employees"/>
    <x v="1"/>
    <x v="0"/>
    <x v="969"/>
    <x v="969"/>
    <x v="1"/>
    <x v="3"/>
    <x v="0"/>
    <s v="No"/>
    <s v="Y"/>
    <n v="2"/>
    <n v="-2"/>
    <n v="0"/>
    <x v="26"/>
    <x v="1"/>
    <m/>
    <n v="0"/>
    <n v="1"/>
    <n v="855"/>
    <n v="4"/>
    <x v="3"/>
    <x v="0"/>
    <n v="4"/>
    <n v="54"/>
    <n v="3"/>
    <n v="3"/>
    <x v="0"/>
    <n v="7898"/>
    <n v="18706"/>
    <n v="1"/>
    <n v="11"/>
    <n v="3"/>
    <n v="3"/>
    <n v="80"/>
    <n v="0"/>
    <n v="11"/>
    <n v="3"/>
    <n v="10"/>
    <n v="9"/>
    <n v="0"/>
    <n v="8"/>
  </r>
  <r>
    <s v="No"/>
    <s v="Travel_Rarely"/>
    <x v="2"/>
    <s v="Current Employees"/>
    <x v="0"/>
    <x v="2"/>
    <x v="970"/>
    <x v="970"/>
    <x v="0"/>
    <x v="6"/>
    <x v="1"/>
    <s v="No"/>
    <s v="Y"/>
    <n v="4"/>
    <n v="-2"/>
    <n v="0"/>
    <x v="4"/>
    <x v="1"/>
    <m/>
    <n v="0"/>
    <n v="1"/>
    <n v="1291"/>
    <n v="11"/>
    <x v="3"/>
    <x v="0"/>
    <n v="3"/>
    <n v="98"/>
    <n v="4"/>
    <n v="1"/>
    <x v="0"/>
    <n v="2534"/>
    <n v="6527"/>
    <n v="8"/>
    <n v="14"/>
    <n v="3"/>
    <n v="2"/>
    <n v="80"/>
    <n v="1"/>
    <n v="5"/>
    <n v="3"/>
    <n v="1"/>
    <n v="0"/>
    <n v="0"/>
    <n v="0"/>
  </r>
  <r>
    <s v="No"/>
    <s v="Travel_Rarely"/>
    <x v="1"/>
    <s v="Current Employees"/>
    <x v="1"/>
    <x v="4"/>
    <x v="971"/>
    <x v="971"/>
    <x v="0"/>
    <x v="3"/>
    <x v="0"/>
    <s v="No"/>
    <s v="Y"/>
    <n v="1"/>
    <n v="-2"/>
    <n v="0"/>
    <x v="31"/>
    <x v="1"/>
    <m/>
    <n v="0"/>
    <n v="1"/>
    <n v="1405"/>
    <n v="11"/>
    <x v="0"/>
    <x v="0"/>
    <n v="4"/>
    <n v="82"/>
    <n v="2"/>
    <n v="4"/>
    <x v="0"/>
    <n v="13142"/>
    <n v="24439"/>
    <n v="3"/>
    <n v="16"/>
    <n v="3"/>
    <n v="2"/>
    <n v="80"/>
    <n v="0"/>
    <n v="29"/>
    <n v="2"/>
    <n v="5"/>
    <n v="2"/>
    <n v="0"/>
    <n v="3"/>
  </r>
  <r>
    <s v="No"/>
    <s v="Non-Travel"/>
    <x v="4"/>
    <s v="Current Employees"/>
    <x v="1"/>
    <x v="0"/>
    <x v="972"/>
    <x v="972"/>
    <x v="0"/>
    <x v="2"/>
    <x v="0"/>
    <s v="No"/>
    <s v="Y"/>
    <n v="5"/>
    <n v="-2"/>
    <n v="0"/>
    <x v="41"/>
    <x v="1"/>
    <m/>
    <n v="0"/>
    <n v="1"/>
    <n v="1124"/>
    <n v="1"/>
    <x v="3"/>
    <x v="0"/>
    <n v="4"/>
    <n v="97"/>
    <n v="3"/>
    <n v="1"/>
    <x v="0"/>
    <n v="1611"/>
    <n v="19305"/>
    <n v="1"/>
    <n v="15"/>
    <n v="3"/>
    <n v="3"/>
    <n v="80"/>
    <n v="0"/>
    <n v="0"/>
    <n v="4"/>
    <n v="0"/>
    <n v="0"/>
    <n v="0"/>
    <n v="0"/>
  </r>
  <r>
    <s v="No"/>
    <s v="Travel_Rarely"/>
    <x v="0"/>
    <s v="Current Employees"/>
    <x v="1"/>
    <x v="2"/>
    <x v="973"/>
    <x v="973"/>
    <x v="0"/>
    <x v="2"/>
    <x v="1"/>
    <s v="No"/>
    <s v="Y"/>
    <n v="0"/>
    <n v="-2"/>
    <n v="0"/>
    <x v="10"/>
    <x v="1"/>
    <m/>
    <n v="0"/>
    <n v="1"/>
    <n v="817"/>
    <n v="1"/>
    <x v="3"/>
    <x v="0"/>
    <n v="4"/>
    <n v="60"/>
    <n v="2"/>
    <n v="2"/>
    <x v="0"/>
    <n v="5363"/>
    <n v="10846"/>
    <n v="0"/>
    <n v="12"/>
    <n v="3"/>
    <n v="2"/>
    <n v="80"/>
    <n v="1"/>
    <n v="10"/>
    <n v="3"/>
    <n v="9"/>
    <n v="7"/>
    <n v="0"/>
    <n v="0"/>
  </r>
  <r>
    <s v="No"/>
    <s v="Travel_Frequently"/>
    <x v="2"/>
    <s v="Current Employees"/>
    <x v="0"/>
    <x v="0"/>
    <x v="974"/>
    <x v="974"/>
    <x v="1"/>
    <x v="0"/>
    <x v="0"/>
    <s v="No"/>
    <s v="Y"/>
    <n v="3"/>
    <n v="-2"/>
    <n v="0"/>
    <x v="4"/>
    <x v="1"/>
    <m/>
    <n v="0"/>
    <n v="1"/>
    <n v="793"/>
    <n v="2"/>
    <x v="1"/>
    <x v="0"/>
    <n v="4"/>
    <n v="43"/>
    <n v="1"/>
    <n v="2"/>
    <x v="0"/>
    <n v="5071"/>
    <n v="20392"/>
    <n v="3"/>
    <n v="20"/>
    <n v="4"/>
    <n v="2"/>
    <n v="80"/>
    <n v="0"/>
    <n v="8"/>
    <n v="3"/>
    <n v="6"/>
    <n v="2"/>
    <n v="0"/>
    <n v="0"/>
  </r>
  <r>
    <s v="Yes"/>
    <s v="Travel_Rarely"/>
    <x v="3"/>
    <s v="Ex-Employees"/>
    <x v="0"/>
    <x v="3"/>
    <x v="975"/>
    <x v="975"/>
    <x v="1"/>
    <x v="0"/>
    <x v="0"/>
    <s v="Yes"/>
    <s v="Y"/>
    <n v="2"/>
    <n v="-2"/>
    <n v="0"/>
    <x v="27"/>
    <x v="0"/>
    <n v="1"/>
    <n v="1"/>
    <n v="0"/>
    <n v="267"/>
    <n v="13"/>
    <x v="2"/>
    <x v="0"/>
    <n v="1"/>
    <n v="85"/>
    <n v="4"/>
    <n v="4"/>
    <x v="1"/>
    <n v="13695"/>
    <n v="9277"/>
    <n v="6"/>
    <n v="17"/>
    <n v="3"/>
    <n v="3"/>
    <n v="80"/>
    <n v="0"/>
    <n v="24"/>
    <n v="2"/>
    <n v="19"/>
    <n v="7"/>
    <n v="3"/>
    <n v="8"/>
  </r>
  <r>
    <s v="No"/>
    <s v="Travel_Rarely"/>
    <x v="3"/>
    <s v="Current Employees"/>
    <x v="1"/>
    <x v="0"/>
    <x v="976"/>
    <x v="976"/>
    <x v="1"/>
    <x v="3"/>
    <x v="1"/>
    <s v="Yes"/>
    <s v="Y"/>
    <n v="0"/>
    <n v="-2"/>
    <n v="0"/>
    <x v="29"/>
    <x v="1"/>
    <m/>
    <n v="0"/>
    <n v="1"/>
    <n v="1369"/>
    <n v="23"/>
    <x v="3"/>
    <x v="0"/>
    <n v="4"/>
    <n v="68"/>
    <n v="3"/>
    <n v="4"/>
    <x v="1"/>
    <n v="13402"/>
    <n v="18235"/>
    <n v="4"/>
    <n v="12"/>
    <n v="3"/>
    <n v="1"/>
    <n v="80"/>
    <n v="1"/>
    <n v="33"/>
    <n v="3"/>
    <n v="19"/>
    <n v="16"/>
    <n v="15"/>
    <n v="9"/>
  </r>
  <r>
    <s v="No"/>
    <s v="Non-Travel"/>
    <x v="2"/>
    <s v="Current Employees"/>
    <x v="1"/>
    <x v="4"/>
    <x v="977"/>
    <x v="977"/>
    <x v="0"/>
    <x v="1"/>
    <x v="2"/>
    <s v="No"/>
    <s v="Y"/>
    <n v="2"/>
    <n v="-2"/>
    <n v="0"/>
    <x v="13"/>
    <x v="1"/>
    <m/>
    <n v="0"/>
    <n v="1"/>
    <n v="999"/>
    <n v="26"/>
    <x v="1"/>
    <x v="0"/>
    <n v="4"/>
    <n v="92"/>
    <n v="2"/>
    <n v="1"/>
    <x v="0"/>
    <n v="2029"/>
    <n v="15891"/>
    <n v="1"/>
    <n v="20"/>
    <n v="4"/>
    <n v="3"/>
    <n v="80"/>
    <n v="3"/>
    <n v="5"/>
    <n v="3"/>
    <n v="5"/>
    <n v="4"/>
    <n v="0"/>
    <n v="0"/>
  </r>
  <r>
    <s v="No"/>
    <s v="Travel_Rarely"/>
    <x v="0"/>
    <s v="Current Employees"/>
    <x v="1"/>
    <x v="2"/>
    <x v="978"/>
    <x v="978"/>
    <x v="0"/>
    <x v="4"/>
    <x v="2"/>
    <s v="No"/>
    <s v="Y"/>
    <n v="0"/>
    <n v="-2"/>
    <n v="0"/>
    <x v="32"/>
    <x v="1"/>
    <m/>
    <n v="0"/>
    <n v="1"/>
    <n v="1202"/>
    <n v="2"/>
    <x v="1"/>
    <x v="0"/>
    <n v="2"/>
    <n v="89"/>
    <n v="4"/>
    <n v="2"/>
    <x v="2"/>
    <n v="6377"/>
    <n v="13888"/>
    <n v="5"/>
    <n v="20"/>
    <n v="4"/>
    <n v="2"/>
    <n v="80"/>
    <n v="3"/>
    <n v="15"/>
    <n v="3"/>
    <n v="12"/>
    <n v="11"/>
    <n v="11"/>
    <n v="8"/>
  </r>
  <r>
    <s v="No"/>
    <s v="Travel_Rarely"/>
    <x v="2"/>
    <s v="Current Employees"/>
    <x v="1"/>
    <x v="2"/>
    <x v="979"/>
    <x v="979"/>
    <x v="1"/>
    <x v="2"/>
    <x v="1"/>
    <s v="No"/>
    <s v="Y"/>
    <n v="1"/>
    <n v="-2"/>
    <n v="0"/>
    <x v="13"/>
    <x v="1"/>
    <m/>
    <n v="0"/>
    <n v="1"/>
    <n v="285"/>
    <n v="29"/>
    <x v="3"/>
    <x v="0"/>
    <n v="2"/>
    <n v="86"/>
    <n v="3"/>
    <n v="2"/>
    <x v="2"/>
    <n v="5429"/>
    <n v="17491"/>
    <n v="4"/>
    <n v="13"/>
    <n v="3"/>
    <n v="1"/>
    <n v="80"/>
    <n v="2"/>
    <n v="10"/>
    <n v="3"/>
    <n v="8"/>
    <n v="7"/>
    <n v="7"/>
    <n v="7"/>
  </r>
  <r>
    <s v="Yes"/>
    <s v="Travel_Frequently"/>
    <x v="2"/>
    <s v="Ex-Employees"/>
    <x v="0"/>
    <x v="0"/>
    <x v="980"/>
    <x v="980"/>
    <x v="0"/>
    <x v="6"/>
    <x v="0"/>
    <s v="No"/>
    <s v="Y"/>
    <n v="3"/>
    <n v="-2"/>
    <n v="0"/>
    <x v="12"/>
    <x v="0"/>
    <n v="1"/>
    <n v="1"/>
    <n v="0"/>
    <n v="703"/>
    <n v="2"/>
    <x v="3"/>
    <x v="0"/>
    <n v="3"/>
    <n v="90"/>
    <n v="2"/>
    <n v="1"/>
    <x v="0"/>
    <n v="2785"/>
    <n v="11882"/>
    <n v="7"/>
    <n v="14"/>
    <n v="3"/>
    <n v="3"/>
    <n v="80"/>
    <n v="0"/>
    <n v="3"/>
    <n v="4"/>
    <n v="1"/>
    <n v="0"/>
    <n v="0"/>
    <n v="0"/>
  </r>
  <r>
    <s v="Yes"/>
    <s v="Travel_Frequently"/>
    <x v="0"/>
    <s v="Ex-Employees"/>
    <x v="0"/>
    <x v="3"/>
    <x v="981"/>
    <x v="981"/>
    <x v="0"/>
    <x v="0"/>
    <x v="1"/>
    <s v="Yes"/>
    <s v="Y"/>
    <n v="0"/>
    <n v="-2"/>
    <n v="0"/>
    <x v="10"/>
    <x v="0"/>
    <n v="1"/>
    <n v="1"/>
    <n v="0"/>
    <n v="662"/>
    <n v="18"/>
    <x v="2"/>
    <x v="0"/>
    <n v="4"/>
    <n v="67"/>
    <n v="3"/>
    <n v="2"/>
    <x v="1"/>
    <n v="4614"/>
    <n v="23288"/>
    <n v="0"/>
    <n v="18"/>
    <n v="3"/>
    <n v="3"/>
    <n v="80"/>
    <n v="1"/>
    <n v="5"/>
    <n v="2"/>
    <n v="4"/>
    <n v="2"/>
    <n v="3"/>
    <n v="2"/>
  </r>
  <r>
    <s v="No"/>
    <s v="Travel_Frequently"/>
    <x v="0"/>
    <s v="Current Employees"/>
    <x v="1"/>
    <x v="0"/>
    <x v="982"/>
    <x v="982"/>
    <x v="1"/>
    <x v="1"/>
    <x v="2"/>
    <s v="No"/>
    <s v="Y"/>
    <n v="2"/>
    <n v="-2"/>
    <n v="0"/>
    <x v="8"/>
    <x v="1"/>
    <m/>
    <n v="0"/>
    <n v="1"/>
    <n v="693"/>
    <n v="7"/>
    <x v="3"/>
    <x v="0"/>
    <n v="4"/>
    <n v="57"/>
    <n v="4"/>
    <n v="1"/>
    <x v="2"/>
    <n v="2610"/>
    <n v="15748"/>
    <n v="1"/>
    <n v="11"/>
    <n v="3"/>
    <n v="4"/>
    <n v="80"/>
    <n v="3"/>
    <n v="4"/>
    <n v="3"/>
    <n v="4"/>
    <n v="2"/>
    <n v="0"/>
    <n v="3"/>
  </r>
  <r>
    <s v="No"/>
    <s v="Travel_Rarely"/>
    <x v="2"/>
    <s v="Current Employees"/>
    <x v="1"/>
    <x v="4"/>
    <x v="983"/>
    <x v="983"/>
    <x v="0"/>
    <x v="4"/>
    <x v="0"/>
    <s v="No"/>
    <s v="Y"/>
    <n v="2"/>
    <n v="-2"/>
    <n v="0"/>
    <x v="13"/>
    <x v="1"/>
    <m/>
    <n v="0"/>
    <n v="1"/>
    <n v="404"/>
    <n v="2"/>
    <x v="2"/>
    <x v="0"/>
    <n v="4"/>
    <n v="98"/>
    <n v="3"/>
    <n v="2"/>
    <x v="0"/>
    <n v="6687"/>
    <n v="6163"/>
    <n v="1"/>
    <n v="11"/>
    <n v="3"/>
    <n v="4"/>
    <n v="80"/>
    <n v="0"/>
    <n v="14"/>
    <n v="4"/>
    <n v="14"/>
    <n v="11"/>
    <n v="4"/>
    <n v="11"/>
  </r>
  <r>
    <s v="No"/>
    <s v="Travel_Rarely"/>
    <x v="2"/>
    <s v="Current Employees"/>
    <x v="0"/>
    <x v="0"/>
    <x v="984"/>
    <x v="984"/>
    <x v="1"/>
    <x v="0"/>
    <x v="1"/>
    <s v="No"/>
    <s v="Y"/>
    <n v="0"/>
    <n v="-2"/>
    <n v="0"/>
    <x v="14"/>
    <x v="1"/>
    <m/>
    <n v="0"/>
    <n v="1"/>
    <n v="736"/>
    <n v="26"/>
    <x v="3"/>
    <x v="0"/>
    <n v="3"/>
    <n v="48"/>
    <n v="2"/>
    <n v="2"/>
    <x v="2"/>
    <n v="4724"/>
    <n v="24232"/>
    <n v="1"/>
    <n v="11"/>
    <n v="3"/>
    <n v="3"/>
    <n v="80"/>
    <n v="1"/>
    <n v="5"/>
    <n v="3"/>
    <n v="5"/>
    <n v="3"/>
    <n v="0"/>
    <n v="4"/>
  </r>
  <r>
    <s v="Yes"/>
    <s v="Travel_Rarely"/>
    <x v="2"/>
    <s v="Ex-Employees"/>
    <x v="1"/>
    <x v="2"/>
    <x v="985"/>
    <x v="985"/>
    <x v="1"/>
    <x v="3"/>
    <x v="1"/>
    <s v="Yes"/>
    <s v="Y"/>
    <n v="3"/>
    <n v="-2"/>
    <n v="0"/>
    <x v="12"/>
    <x v="0"/>
    <n v="1"/>
    <n v="1"/>
    <n v="0"/>
    <n v="330"/>
    <n v="22"/>
    <x v="2"/>
    <x v="0"/>
    <n v="4"/>
    <n v="98"/>
    <n v="3"/>
    <n v="2"/>
    <x v="2"/>
    <n v="6179"/>
    <n v="21057"/>
    <n v="1"/>
    <n v="15"/>
    <n v="3"/>
    <n v="4"/>
    <n v="80"/>
    <n v="2"/>
    <n v="10"/>
    <n v="2"/>
    <n v="10"/>
    <n v="2"/>
    <n v="6"/>
    <n v="7"/>
  </r>
  <r>
    <s v="No"/>
    <s v="Travel_Rarely"/>
    <x v="0"/>
    <s v="Current Employees"/>
    <x v="0"/>
    <x v="0"/>
    <x v="986"/>
    <x v="986"/>
    <x v="1"/>
    <x v="0"/>
    <x v="1"/>
    <s v="Yes"/>
    <s v="Y"/>
    <n v="2"/>
    <n v="-2"/>
    <n v="0"/>
    <x v="22"/>
    <x v="1"/>
    <m/>
    <n v="0"/>
    <n v="1"/>
    <n v="1498"/>
    <n v="21"/>
    <x v="2"/>
    <x v="0"/>
    <n v="1"/>
    <n v="44"/>
    <n v="2"/>
    <n v="2"/>
    <x v="0"/>
    <n v="6120"/>
    <n v="3567"/>
    <n v="3"/>
    <n v="12"/>
    <n v="3"/>
    <n v="4"/>
    <n v="80"/>
    <n v="2"/>
    <n v="8"/>
    <n v="4"/>
    <n v="5"/>
    <n v="4"/>
    <n v="1"/>
    <n v="4"/>
  </r>
  <r>
    <s v="No"/>
    <s v="Travel_Frequently"/>
    <x v="1"/>
    <s v="Current Employees"/>
    <x v="0"/>
    <x v="3"/>
    <x v="987"/>
    <x v="987"/>
    <x v="1"/>
    <x v="0"/>
    <x v="1"/>
    <s v="No"/>
    <s v="Y"/>
    <n v="5"/>
    <n v="-2"/>
    <n v="0"/>
    <x v="31"/>
    <x v="1"/>
    <m/>
    <n v="0"/>
    <n v="1"/>
    <n v="541"/>
    <n v="2"/>
    <x v="3"/>
    <x v="0"/>
    <n v="2"/>
    <n v="52"/>
    <n v="3"/>
    <n v="3"/>
    <x v="1"/>
    <n v="10596"/>
    <n v="15395"/>
    <n v="2"/>
    <n v="11"/>
    <n v="3"/>
    <n v="2"/>
    <n v="80"/>
    <n v="0"/>
    <n v="14"/>
    <n v="3"/>
    <n v="4"/>
    <n v="2"/>
    <n v="3"/>
    <n v="2"/>
  </r>
  <r>
    <s v="No"/>
    <s v="Travel_Frequently"/>
    <x v="0"/>
    <s v="Current Employees"/>
    <x v="1"/>
    <x v="0"/>
    <x v="988"/>
    <x v="988"/>
    <x v="0"/>
    <x v="1"/>
    <x v="2"/>
    <s v="Yes"/>
    <s v="Y"/>
    <n v="4"/>
    <n v="-2"/>
    <n v="0"/>
    <x v="0"/>
    <x v="1"/>
    <m/>
    <n v="0"/>
    <n v="1"/>
    <n v="1200"/>
    <n v="22"/>
    <x v="3"/>
    <x v="0"/>
    <n v="4"/>
    <n v="75"/>
    <n v="3"/>
    <n v="2"/>
    <x v="0"/>
    <n v="5467"/>
    <n v="13953"/>
    <n v="3"/>
    <n v="14"/>
    <n v="3"/>
    <n v="1"/>
    <n v="80"/>
    <n v="2"/>
    <n v="12"/>
    <n v="2"/>
    <n v="6"/>
    <n v="2"/>
    <n v="3"/>
    <n v="3"/>
  </r>
  <r>
    <s v="No"/>
    <s v="Travel_Rarely"/>
    <x v="0"/>
    <s v="Current Employees"/>
    <x v="1"/>
    <x v="0"/>
    <x v="989"/>
    <x v="989"/>
    <x v="1"/>
    <x v="1"/>
    <x v="1"/>
    <s v="Yes"/>
    <s v="Y"/>
    <n v="2"/>
    <n v="-2"/>
    <n v="0"/>
    <x v="2"/>
    <x v="1"/>
    <m/>
    <n v="0"/>
    <n v="1"/>
    <n v="1439"/>
    <n v="4"/>
    <x v="1"/>
    <x v="0"/>
    <n v="3"/>
    <n v="54"/>
    <n v="3"/>
    <n v="1"/>
    <x v="2"/>
    <n v="2996"/>
    <n v="5182"/>
    <n v="7"/>
    <n v="15"/>
    <n v="3"/>
    <n v="4"/>
    <n v="80"/>
    <n v="0"/>
    <n v="8"/>
    <n v="3"/>
    <n v="6"/>
    <n v="4"/>
    <n v="1"/>
    <n v="3"/>
  </r>
  <r>
    <s v="No"/>
    <s v="Travel_Frequently"/>
    <x v="2"/>
    <s v="Current Employees"/>
    <x v="0"/>
    <x v="0"/>
    <x v="990"/>
    <x v="990"/>
    <x v="1"/>
    <x v="0"/>
    <x v="1"/>
    <s v="No"/>
    <s v="Y"/>
    <n v="2"/>
    <n v="-2"/>
    <n v="0"/>
    <x v="3"/>
    <x v="1"/>
    <m/>
    <n v="0"/>
    <n v="1"/>
    <n v="1111"/>
    <n v="5"/>
    <x v="1"/>
    <x v="0"/>
    <n v="2"/>
    <n v="61"/>
    <n v="3"/>
    <n v="2"/>
    <x v="0"/>
    <n v="9998"/>
    <n v="19293"/>
    <n v="6"/>
    <n v="13"/>
    <n v="3"/>
    <n v="1"/>
    <n v="80"/>
    <n v="0"/>
    <n v="8"/>
    <n v="4"/>
    <n v="5"/>
    <n v="4"/>
    <n v="1"/>
    <n v="2"/>
  </r>
  <r>
    <s v="No"/>
    <s v="Travel_Rarely"/>
    <x v="2"/>
    <s v="Current Employees"/>
    <x v="0"/>
    <x v="3"/>
    <x v="991"/>
    <x v="991"/>
    <x v="1"/>
    <x v="0"/>
    <x v="1"/>
    <s v="Yes"/>
    <s v="Y"/>
    <n v="3"/>
    <n v="-2"/>
    <n v="0"/>
    <x v="5"/>
    <x v="1"/>
    <m/>
    <n v="0"/>
    <n v="1"/>
    <n v="499"/>
    <n v="2"/>
    <x v="1"/>
    <x v="0"/>
    <n v="3"/>
    <n v="36"/>
    <n v="3"/>
    <n v="2"/>
    <x v="1"/>
    <n v="4078"/>
    <n v="20497"/>
    <n v="0"/>
    <n v="13"/>
    <n v="3"/>
    <n v="1"/>
    <n v="80"/>
    <n v="3"/>
    <n v="4"/>
    <n v="2"/>
    <n v="3"/>
    <n v="2"/>
    <n v="1"/>
    <n v="2"/>
  </r>
  <r>
    <s v="No"/>
    <s v="Non-Travel"/>
    <x v="0"/>
    <s v="Current Employees"/>
    <x v="1"/>
    <x v="0"/>
    <x v="992"/>
    <x v="992"/>
    <x v="1"/>
    <x v="4"/>
    <x v="1"/>
    <s v="No"/>
    <s v="Y"/>
    <n v="2"/>
    <n v="-2"/>
    <n v="0"/>
    <x v="22"/>
    <x v="1"/>
    <m/>
    <n v="0"/>
    <n v="1"/>
    <n v="1485"/>
    <n v="25"/>
    <x v="0"/>
    <x v="0"/>
    <n v="3"/>
    <n v="71"/>
    <n v="3"/>
    <n v="3"/>
    <x v="2"/>
    <n v="10920"/>
    <n v="3449"/>
    <n v="3"/>
    <n v="21"/>
    <n v="4"/>
    <n v="2"/>
    <n v="80"/>
    <n v="1"/>
    <n v="13"/>
    <n v="3"/>
    <n v="6"/>
    <n v="4"/>
    <n v="0"/>
    <n v="5"/>
  </r>
  <r>
    <s v="No"/>
    <s v="Travel_Rarely"/>
    <x v="2"/>
    <s v="Current Employees"/>
    <x v="0"/>
    <x v="0"/>
    <x v="993"/>
    <x v="993"/>
    <x v="1"/>
    <x v="0"/>
    <x v="1"/>
    <s v="No"/>
    <s v="Y"/>
    <n v="3"/>
    <n v="-2"/>
    <n v="0"/>
    <x v="36"/>
    <x v="1"/>
    <m/>
    <n v="0"/>
    <n v="1"/>
    <n v="1372"/>
    <n v="18"/>
    <x v="1"/>
    <x v="0"/>
    <n v="1"/>
    <n v="93"/>
    <n v="4"/>
    <n v="2"/>
    <x v="2"/>
    <n v="6232"/>
    <n v="12477"/>
    <n v="2"/>
    <n v="11"/>
    <n v="3"/>
    <n v="2"/>
    <n v="80"/>
    <n v="0"/>
    <n v="6"/>
    <n v="2"/>
    <n v="3"/>
    <n v="2"/>
    <n v="1"/>
    <n v="2"/>
  </r>
  <r>
    <s v="No"/>
    <s v="Travel_Frequently"/>
    <x v="1"/>
    <s v="Current Employees"/>
    <x v="1"/>
    <x v="2"/>
    <x v="994"/>
    <x v="994"/>
    <x v="0"/>
    <x v="3"/>
    <x v="1"/>
    <s v="Yes"/>
    <s v="Y"/>
    <n v="3"/>
    <n v="-2"/>
    <n v="0"/>
    <x v="39"/>
    <x v="1"/>
    <m/>
    <n v="0"/>
    <n v="1"/>
    <n v="322"/>
    <n v="28"/>
    <x v="0"/>
    <x v="0"/>
    <n v="4"/>
    <n v="59"/>
    <n v="4"/>
    <n v="4"/>
    <x v="2"/>
    <n v="13247"/>
    <n v="9731"/>
    <n v="2"/>
    <n v="11"/>
    <n v="3"/>
    <n v="2"/>
    <n v="80"/>
    <n v="1"/>
    <n v="24"/>
    <n v="2"/>
    <n v="5"/>
    <n v="3"/>
    <n v="0"/>
    <n v="2"/>
  </r>
  <r>
    <s v="No"/>
    <s v="Travel_Rarely"/>
    <x v="0"/>
    <s v="Current Employees"/>
    <x v="1"/>
    <x v="2"/>
    <x v="995"/>
    <x v="995"/>
    <x v="0"/>
    <x v="1"/>
    <x v="0"/>
    <s v="Yes"/>
    <s v="Y"/>
    <n v="3"/>
    <n v="-2"/>
    <n v="0"/>
    <x v="23"/>
    <x v="1"/>
    <m/>
    <n v="0"/>
    <n v="1"/>
    <n v="930"/>
    <n v="6"/>
    <x v="3"/>
    <x v="0"/>
    <n v="1"/>
    <n v="73"/>
    <n v="2"/>
    <n v="2"/>
    <x v="2"/>
    <n v="4081"/>
    <n v="20003"/>
    <n v="1"/>
    <n v="14"/>
    <n v="3"/>
    <n v="1"/>
    <n v="80"/>
    <n v="0"/>
    <n v="20"/>
    <n v="1"/>
    <n v="20"/>
    <n v="7"/>
    <n v="1"/>
    <n v="8"/>
  </r>
  <r>
    <s v="No"/>
    <s v="Travel_Rarely"/>
    <x v="2"/>
    <s v="Current Employees"/>
    <x v="0"/>
    <x v="3"/>
    <x v="996"/>
    <x v="996"/>
    <x v="0"/>
    <x v="0"/>
    <x v="1"/>
    <s v="Yes"/>
    <s v="Y"/>
    <n v="3"/>
    <n v="-2"/>
    <n v="0"/>
    <x v="4"/>
    <x v="1"/>
    <m/>
    <n v="0"/>
    <n v="1"/>
    <n v="205"/>
    <n v="10"/>
    <x v="3"/>
    <x v="0"/>
    <n v="4"/>
    <n v="98"/>
    <n v="2"/>
    <n v="2"/>
    <x v="1"/>
    <n v="5769"/>
    <n v="7100"/>
    <n v="1"/>
    <n v="11"/>
    <n v="3"/>
    <n v="4"/>
    <n v="80"/>
    <n v="0"/>
    <n v="6"/>
    <n v="3"/>
    <n v="6"/>
    <n v="2"/>
    <n v="4"/>
    <n v="4"/>
  </r>
  <r>
    <s v="Yes"/>
    <s v="Travel_Rarely"/>
    <x v="2"/>
    <s v="Ex-Employees"/>
    <x v="1"/>
    <x v="0"/>
    <x v="997"/>
    <x v="997"/>
    <x v="0"/>
    <x v="1"/>
    <x v="0"/>
    <s v="Yes"/>
    <s v="Y"/>
    <n v="2"/>
    <n v="-2"/>
    <n v="0"/>
    <x v="4"/>
    <x v="0"/>
    <n v="1"/>
    <n v="1"/>
    <n v="0"/>
    <n v="135"/>
    <n v="17"/>
    <x v="2"/>
    <x v="0"/>
    <n v="4"/>
    <n v="51"/>
    <n v="3"/>
    <n v="1"/>
    <x v="2"/>
    <n v="2394"/>
    <n v="25681"/>
    <n v="1"/>
    <n v="13"/>
    <n v="3"/>
    <n v="4"/>
    <n v="80"/>
    <n v="0"/>
    <n v="8"/>
    <n v="3"/>
    <n v="8"/>
    <n v="2"/>
    <n v="7"/>
    <n v="7"/>
  </r>
  <r>
    <s v="No"/>
    <s v="Travel_Rarely"/>
    <x v="2"/>
    <s v="Current Employees"/>
    <x v="1"/>
    <x v="2"/>
    <x v="998"/>
    <x v="998"/>
    <x v="1"/>
    <x v="1"/>
    <x v="0"/>
    <s v="No"/>
    <s v="Y"/>
    <n v="2"/>
    <n v="-2"/>
    <n v="0"/>
    <x v="25"/>
    <x v="1"/>
    <m/>
    <n v="0"/>
    <n v="1"/>
    <n v="683"/>
    <n v="2"/>
    <x v="1"/>
    <x v="0"/>
    <n v="1"/>
    <n v="36"/>
    <n v="2"/>
    <n v="1"/>
    <x v="0"/>
    <n v="3904"/>
    <n v="4050"/>
    <n v="0"/>
    <n v="12"/>
    <n v="3"/>
    <n v="4"/>
    <n v="80"/>
    <n v="0"/>
    <n v="5"/>
    <n v="3"/>
    <n v="4"/>
    <n v="3"/>
    <n v="1"/>
    <n v="1"/>
  </r>
  <r>
    <s v="No"/>
    <s v="Travel_Rarely"/>
    <x v="0"/>
    <s v="Current Employees"/>
    <x v="2"/>
    <x v="5"/>
    <x v="999"/>
    <x v="999"/>
    <x v="0"/>
    <x v="5"/>
    <x v="1"/>
    <s v="No"/>
    <s v="Y"/>
    <n v="5"/>
    <n v="-2"/>
    <n v="0"/>
    <x v="19"/>
    <x v="1"/>
    <m/>
    <n v="0"/>
    <n v="1"/>
    <n v="1147"/>
    <n v="10"/>
    <x v="3"/>
    <x v="0"/>
    <n v="3"/>
    <n v="31"/>
    <n v="3"/>
    <n v="4"/>
    <x v="2"/>
    <n v="16799"/>
    <n v="16616"/>
    <n v="0"/>
    <n v="14"/>
    <n v="3"/>
    <n v="3"/>
    <n v="80"/>
    <n v="1"/>
    <n v="21"/>
    <n v="3"/>
    <n v="20"/>
    <n v="7"/>
    <n v="0"/>
    <n v="9"/>
  </r>
  <r>
    <s v="No"/>
    <s v="Non-Travel"/>
    <x v="2"/>
    <s v="Current Employees"/>
    <x v="1"/>
    <x v="2"/>
    <x v="1000"/>
    <x v="1000"/>
    <x v="0"/>
    <x v="4"/>
    <x v="2"/>
    <s v="No"/>
    <s v="Y"/>
    <n v="6"/>
    <n v="-2"/>
    <n v="0"/>
    <x v="5"/>
    <x v="1"/>
    <m/>
    <n v="0"/>
    <n v="1"/>
    <n v="1146"/>
    <n v="15"/>
    <x v="2"/>
    <x v="0"/>
    <n v="3"/>
    <n v="34"/>
    <n v="3"/>
    <n v="2"/>
    <x v="0"/>
    <n v="6667"/>
    <n v="16542"/>
    <n v="5"/>
    <n v="18"/>
    <n v="3"/>
    <n v="2"/>
    <n v="80"/>
    <n v="1"/>
    <n v="9"/>
    <n v="3"/>
    <n v="5"/>
    <n v="1"/>
    <n v="1"/>
    <n v="2"/>
  </r>
  <r>
    <s v="No"/>
    <s v="Non-Travel"/>
    <x v="0"/>
    <s v="Current Employees"/>
    <x v="1"/>
    <x v="2"/>
    <x v="1001"/>
    <x v="1001"/>
    <x v="0"/>
    <x v="3"/>
    <x v="1"/>
    <s v="No"/>
    <s v="Y"/>
    <n v="6"/>
    <n v="-2"/>
    <n v="0"/>
    <x v="9"/>
    <x v="1"/>
    <m/>
    <n v="0"/>
    <n v="1"/>
    <n v="894"/>
    <n v="1"/>
    <x v="2"/>
    <x v="0"/>
    <n v="4"/>
    <n v="33"/>
    <n v="2"/>
    <n v="2"/>
    <x v="2"/>
    <n v="4374"/>
    <n v="15411"/>
    <n v="0"/>
    <n v="15"/>
    <n v="3"/>
    <n v="3"/>
    <n v="80"/>
    <n v="0"/>
    <n v="4"/>
    <n v="3"/>
    <n v="3"/>
    <n v="2"/>
    <n v="1"/>
    <n v="2"/>
  </r>
  <r>
    <s v="No"/>
    <s v="Non-Travel"/>
    <x v="0"/>
    <s v="Current Employees"/>
    <x v="1"/>
    <x v="0"/>
    <x v="1002"/>
    <x v="1002"/>
    <x v="0"/>
    <x v="4"/>
    <x v="1"/>
    <s v="No"/>
    <s v="Y"/>
    <n v="5"/>
    <n v="-2"/>
    <n v="0"/>
    <x v="10"/>
    <x v="1"/>
    <m/>
    <n v="0"/>
    <n v="1"/>
    <n v="208"/>
    <n v="8"/>
    <x v="2"/>
    <x v="0"/>
    <n v="3"/>
    <n v="52"/>
    <n v="3"/>
    <n v="2"/>
    <x v="2"/>
    <n v="4148"/>
    <n v="12250"/>
    <n v="1"/>
    <n v="12"/>
    <n v="3"/>
    <n v="4"/>
    <n v="80"/>
    <n v="1"/>
    <n v="15"/>
    <n v="3"/>
    <n v="14"/>
    <n v="11"/>
    <n v="2"/>
    <n v="9"/>
  </r>
  <r>
    <s v="No"/>
    <s v="Non-Travel"/>
    <x v="1"/>
    <s v="Current Employees"/>
    <x v="1"/>
    <x v="2"/>
    <x v="1003"/>
    <x v="1003"/>
    <x v="0"/>
    <x v="7"/>
    <x v="1"/>
    <s v="No"/>
    <s v="Y"/>
    <n v="3"/>
    <n v="-2"/>
    <n v="0"/>
    <x v="40"/>
    <x v="1"/>
    <m/>
    <n v="0"/>
    <n v="1"/>
    <n v="1162"/>
    <n v="1"/>
    <x v="1"/>
    <x v="0"/>
    <n v="3"/>
    <n v="98"/>
    <n v="3"/>
    <n v="3"/>
    <x v="1"/>
    <n v="11957"/>
    <n v="17231"/>
    <n v="0"/>
    <n v="18"/>
    <n v="3"/>
    <n v="1"/>
    <n v="80"/>
    <n v="2"/>
    <n v="14"/>
    <n v="1"/>
    <n v="13"/>
    <n v="8"/>
    <n v="5"/>
    <n v="12"/>
  </r>
  <r>
    <s v="No"/>
    <s v="Non-Travel"/>
    <x v="4"/>
    <s v="Current Employees"/>
    <x v="1"/>
    <x v="2"/>
    <x v="1004"/>
    <x v="1004"/>
    <x v="0"/>
    <x v="1"/>
    <x v="0"/>
    <s v="No"/>
    <s v="Y"/>
    <n v="4"/>
    <n v="-2"/>
    <n v="0"/>
    <x v="41"/>
    <x v="1"/>
    <m/>
    <n v="0"/>
    <n v="1"/>
    <n v="1431"/>
    <n v="14"/>
    <x v="3"/>
    <x v="0"/>
    <n v="2"/>
    <n v="33"/>
    <n v="3"/>
    <n v="1"/>
    <x v="2"/>
    <n v="1514"/>
    <n v="8018"/>
    <n v="1"/>
    <n v="16"/>
    <n v="3"/>
    <n v="3"/>
    <n v="80"/>
    <n v="0"/>
    <n v="0"/>
    <n v="1"/>
    <n v="0"/>
    <n v="0"/>
    <n v="0"/>
    <n v="0"/>
  </r>
  <r>
    <s v="No"/>
    <s v="Non-Travel"/>
    <x v="0"/>
    <s v="Current Employees"/>
    <x v="0"/>
    <x v="0"/>
    <x v="1005"/>
    <x v="1005"/>
    <x v="0"/>
    <x v="0"/>
    <x v="1"/>
    <s v="No"/>
    <s v="Y"/>
    <n v="1"/>
    <n v="-2"/>
    <n v="0"/>
    <x v="22"/>
    <x v="1"/>
    <m/>
    <n v="0"/>
    <n v="1"/>
    <n v="1251"/>
    <n v="21"/>
    <x v="2"/>
    <x v="0"/>
    <n v="1"/>
    <n v="32"/>
    <n v="1"/>
    <n v="2"/>
    <x v="2"/>
    <n v="5736"/>
    <n v="3987"/>
    <n v="6"/>
    <n v="19"/>
    <n v="3"/>
    <n v="3"/>
    <n v="80"/>
    <n v="1"/>
    <n v="10"/>
    <n v="3"/>
    <n v="3"/>
    <n v="2"/>
    <n v="1"/>
    <n v="2"/>
  </r>
  <r>
    <s v="No"/>
    <s v="Non-Travel"/>
    <x v="4"/>
    <s v="Current Employees"/>
    <x v="0"/>
    <x v="0"/>
    <x v="1006"/>
    <x v="1006"/>
    <x v="0"/>
    <x v="6"/>
    <x v="1"/>
    <s v="No"/>
    <s v="Y"/>
    <n v="2"/>
    <n v="-2"/>
    <n v="0"/>
    <x v="17"/>
    <x v="1"/>
    <m/>
    <n v="0"/>
    <n v="1"/>
    <n v="830"/>
    <n v="13"/>
    <x v="0"/>
    <x v="0"/>
    <n v="4"/>
    <n v="78"/>
    <n v="3"/>
    <n v="1"/>
    <x v="1"/>
    <n v="2033"/>
    <n v="7103"/>
    <n v="1"/>
    <n v="13"/>
    <n v="3"/>
    <n v="3"/>
    <n v="80"/>
    <n v="1"/>
    <n v="1"/>
    <n v="3"/>
    <n v="1"/>
    <n v="0"/>
    <n v="0"/>
    <n v="0"/>
  </r>
  <r>
    <s v="No"/>
    <s v="Non-Travel"/>
    <x v="2"/>
    <s v="Current Employees"/>
    <x v="0"/>
    <x v="3"/>
    <x v="1007"/>
    <x v="1007"/>
    <x v="0"/>
    <x v="0"/>
    <x v="0"/>
    <s v="No"/>
    <s v="Y"/>
    <n v="2"/>
    <n v="-2"/>
    <n v="0"/>
    <x v="3"/>
    <x v="1"/>
    <m/>
    <n v="0"/>
    <n v="1"/>
    <n v="1283"/>
    <n v="2"/>
    <x v="3"/>
    <x v="0"/>
    <n v="4"/>
    <n v="62"/>
    <n v="3"/>
    <n v="2"/>
    <x v="1"/>
    <n v="5147"/>
    <n v="10697"/>
    <n v="8"/>
    <n v="15"/>
    <n v="3"/>
    <n v="4"/>
    <n v="80"/>
    <n v="0"/>
    <n v="13"/>
    <n v="2"/>
    <n v="11"/>
    <n v="7"/>
    <n v="1"/>
    <n v="7"/>
  </r>
  <r>
    <s v="No"/>
    <s v="Travel_Frequently"/>
    <x v="1"/>
    <s v="Current Employees"/>
    <x v="1"/>
    <x v="2"/>
    <x v="1008"/>
    <x v="1008"/>
    <x v="0"/>
    <x v="5"/>
    <x v="2"/>
    <s v="No"/>
    <s v="Y"/>
    <n v="3"/>
    <n v="-2"/>
    <n v="0"/>
    <x v="26"/>
    <x v="1"/>
    <m/>
    <n v="0"/>
    <n v="1"/>
    <n v="117"/>
    <n v="22"/>
    <x v="3"/>
    <x v="0"/>
    <n v="4"/>
    <n v="58"/>
    <n v="3"/>
    <n v="4"/>
    <x v="0"/>
    <n v="17174"/>
    <n v="2437"/>
    <n v="3"/>
    <n v="11"/>
    <n v="3"/>
    <n v="2"/>
    <n v="80"/>
    <n v="1"/>
    <n v="24"/>
    <n v="3"/>
    <n v="22"/>
    <n v="17"/>
    <n v="4"/>
    <n v="7"/>
  </r>
  <r>
    <s v="No"/>
    <s v="Travel_Frequently"/>
    <x v="0"/>
    <s v="Current Employees"/>
    <x v="1"/>
    <x v="0"/>
    <x v="1009"/>
    <x v="1009"/>
    <x v="0"/>
    <x v="3"/>
    <x v="2"/>
    <s v="No"/>
    <s v="Y"/>
    <n v="3"/>
    <n v="-2"/>
    <n v="0"/>
    <x v="9"/>
    <x v="1"/>
    <m/>
    <n v="0"/>
    <n v="1"/>
    <n v="688"/>
    <n v="4"/>
    <x v="0"/>
    <x v="0"/>
    <n v="4"/>
    <n v="97"/>
    <n v="3"/>
    <n v="2"/>
    <x v="1"/>
    <n v="5131"/>
    <n v="9192"/>
    <n v="7"/>
    <n v="13"/>
    <n v="3"/>
    <n v="2"/>
    <n v="80"/>
    <n v="3"/>
    <n v="18"/>
    <n v="3"/>
    <n v="4"/>
    <n v="2"/>
    <n v="0"/>
    <n v="2"/>
  </r>
  <r>
    <s v="No"/>
    <s v="Travel_Frequently"/>
    <x v="0"/>
    <s v="Current Employees"/>
    <x v="1"/>
    <x v="2"/>
    <x v="1010"/>
    <x v="1010"/>
    <x v="0"/>
    <x v="2"/>
    <x v="1"/>
    <s v="No"/>
    <s v="Y"/>
    <n v="4"/>
    <n v="-2"/>
    <n v="0"/>
    <x v="8"/>
    <x v="1"/>
    <m/>
    <n v="0"/>
    <n v="1"/>
    <n v="594"/>
    <n v="2"/>
    <x v="0"/>
    <x v="0"/>
    <n v="3"/>
    <n v="75"/>
    <n v="2"/>
    <n v="1"/>
    <x v="1"/>
    <n v="2468"/>
    <n v="15963"/>
    <n v="4"/>
    <n v="14"/>
    <n v="3"/>
    <n v="2"/>
    <n v="80"/>
    <n v="1"/>
    <n v="9"/>
    <n v="2"/>
    <n v="6"/>
    <n v="1"/>
    <n v="0"/>
    <n v="5"/>
  </r>
  <r>
    <s v="No"/>
    <s v="Travel_Frequently"/>
    <x v="2"/>
    <s v="Current Employees"/>
    <x v="1"/>
    <x v="0"/>
    <x v="1011"/>
    <x v="1011"/>
    <x v="0"/>
    <x v="1"/>
    <x v="1"/>
    <s v="No"/>
    <s v="Y"/>
    <n v="2"/>
    <n v="-2"/>
    <n v="0"/>
    <x v="4"/>
    <x v="1"/>
    <m/>
    <n v="0"/>
    <n v="1"/>
    <n v="1131"/>
    <n v="15"/>
    <x v="3"/>
    <x v="0"/>
    <n v="4"/>
    <n v="77"/>
    <n v="2"/>
    <n v="1"/>
    <x v="2"/>
    <n v="4774"/>
    <n v="23844"/>
    <n v="0"/>
    <n v="19"/>
    <n v="3"/>
    <n v="4"/>
    <n v="80"/>
    <n v="1"/>
    <n v="8"/>
    <n v="2"/>
    <n v="7"/>
    <n v="6"/>
    <n v="7"/>
    <n v="3"/>
  </r>
  <r>
    <s v="No"/>
    <s v="Travel_Frequently"/>
    <x v="0"/>
    <s v="Current Employees"/>
    <x v="1"/>
    <x v="4"/>
    <x v="1012"/>
    <x v="1012"/>
    <x v="0"/>
    <x v="2"/>
    <x v="1"/>
    <s v="No"/>
    <s v="Y"/>
    <n v="2"/>
    <n v="-2"/>
    <n v="0"/>
    <x v="32"/>
    <x v="1"/>
    <m/>
    <n v="0"/>
    <n v="1"/>
    <n v="692"/>
    <n v="11"/>
    <x v="3"/>
    <x v="0"/>
    <n v="4"/>
    <n v="73"/>
    <n v="3"/>
    <n v="2"/>
    <x v="0"/>
    <n v="6323"/>
    <n v="26849"/>
    <n v="1"/>
    <n v="11"/>
    <n v="3"/>
    <n v="1"/>
    <n v="80"/>
    <n v="1"/>
    <n v="10"/>
    <n v="4"/>
    <n v="10"/>
    <n v="9"/>
    <n v="9"/>
    <n v="4"/>
  </r>
  <r>
    <s v="No"/>
    <s v="Travel_Frequently"/>
    <x v="2"/>
    <s v="Current Employees"/>
    <x v="1"/>
    <x v="0"/>
    <x v="1013"/>
    <x v="1013"/>
    <x v="0"/>
    <x v="2"/>
    <x v="1"/>
    <s v="No"/>
    <s v="Y"/>
    <n v="3"/>
    <n v="-2"/>
    <n v="0"/>
    <x v="11"/>
    <x v="1"/>
    <m/>
    <n v="0"/>
    <n v="1"/>
    <n v="410"/>
    <n v="2"/>
    <x v="1"/>
    <x v="0"/>
    <n v="4"/>
    <n v="97"/>
    <n v="3"/>
    <n v="1"/>
    <x v="1"/>
    <n v="3180"/>
    <n v="4668"/>
    <n v="0"/>
    <n v="13"/>
    <n v="3"/>
    <n v="3"/>
    <n v="80"/>
    <n v="3"/>
    <n v="4"/>
    <n v="3"/>
    <n v="3"/>
    <n v="2"/>
    <n v="0"/>
    <n v="2"/>
  </r>
  <r>
    <s v="No"/>
    <s v="Travel_Frequently"/>
    <x v="0"/>
    <s v="Current Employees"/>
    <x v="1"/>
    <x v="2"/>
    <x v="1014"/>
    <x v="1014"/>
    <x v="0"/>
    <x v="3"/>
    <x v="0"/>
    <s v="No"/>
    <s v="Y"/>
    <n v="2"/>
    <n v="-2"/>
    <n v="0"/>
    <x v="22"/>
    <x v="1"/>
    <m/>
    <n v="0"/>
    <n v="1"/>
    <n v="711"/>
    <n v="4"/>
    <x v="3"/>
    <x v="0"/>
    <n v="1"/>
    <n v="81"/>
    <n v="3"/>
    <n v="2"/>
    <x v="2"/>
    <n v="5042"/>
    <n v="3140"/>
    <n v="0"/>
    <n v="13"/>
    <n v="3"/>
    <n v="4"/>
    <n v="80"/>
    <n v="0"/>
    <n v="10"/>
    <n v="1"/>
    <n v="9"/>
    <n v="2"/>
    <n v="3"/>
    <n v="8"/>
  </r>
  <r>
    <s v="No"/>
    <s v="Travel_Frequently"/>
    <x v="0"/>
    <s v="Current Employees"/>
    <x v="1"/>
    <x v="2"/>
    <x v="1015"/>
    <x v="1015"/>
    <x v="0"/>
    <x v="2"/>
    <x v="0"/>
    <s v="No"/>
    <s v="Y"/>
    <n v="3"/>
    <n v="-2"/>
    <n v="0"/>
    <x v="19"/>
    <x v="1"/>
    <m/>
    <n v="0"/>
    <n v="1"/>
    <n v="748"/>
    <n v="9"/>
    <x v="0"/>
    <x v="0"/>
    <n v="1"/>
    <n v="74"/>
    <n v="3"/>
    <n v="1"/>
    <x v="0"/>
    <n v="3673"/>
    <n v="16458"/>
    <n v="1"/>
    <n v="13"/>
    <n v="3"/>
    <n v="3"/>
    <n v="80"/>
    <n v="0"/>
    <n v="12"/>
    <n v="3"/>
    <n v="12"/>
    <n v="9"/>
    <n v="5"/>
    <n v="8"/>
  </r>
  <r>
    <s v="No"/>
    <s v="Travel_Frequently"/>
    <x v="2"/>
    <s v="Current Employees"/>
    <x v="1"/>
    <x v="4"/>
    <x v="1016"/>
    <x v="1016"/>
    <x v="0"/>
    <x v="1"/>
    <x v="0"/>
    <s v="No"/>
    <s v="Y"/>
    <n v="2"/>
    <n v="-2"/>
    <n v="0"/>
    <x v="7"/>
    <x v="1"/>
    <m/>
    <n v="0"/>
    <n v="1"/>
    <n v="1312"/>
    <n v="2"/>
    <x v="2"/>
    <x v="0"/>
    <n v="4"/>
    <n v="78"/>
    <n v="2"/>
    <n v="1"/>
    <x v="0"/>
    <n v="4968"/>
    <n v="26427"/>
    <n v="0"/>
    <n v="16"/>
    <n v="3"/>
    <n v="4"/>
    <n v="80"/>
    <n v="0"/>
    <n v="10"/>
    <n v="3"/>
    <n v="9"/>
    <n v="7"/>
    <n v="0"/>
    <n v="7"/>
  </r>
  <r>
    <s v="No"/>
    <s v="Travel_Frequently"/>
    <x v="0"/>
    <s v="Current Employees"/>
    <x v="0"/>
    <x v="3"/>
    <x v="1017"/>
    <x v="1017"/>
    <x v="0"/>
    <x v="0"/>
    <x v="1"/>
    <s v="No"/>
    <s v="Y"/>
    <n v="4"/>
    <n v="-2"/>
    <n v="0"/>
    <x v="20"/>
    <x v="1"/>
    <m/>
    <n v="0"/>
    <n v="1"/>
    <n v="383"/>
    <n v="1"/>
    <x v="4"/>
    <x v="0"/>
    <n v="1"/>
    <n v="79"/>
    <n v="3"/>
    <n v="2"/>
    <x v="1"/>
    <n v="4768"/>
    <n v="9282"/>
    <n v="7"/>
    <n v="12"/>
    <n v="3"/>
    <n v="3"/>
    <n v="80"/>
    <n v="1"/>
    <n v="11"/>
    <n v="2"/>
    <n v="1"/>
    <n v="0"/>
    <n v="0"/>
    <n v="0"/>
  </r>
  <r>
    <s v="No"/>
    <s v="Travel_Frequently"/>
    <x v="2"/>
    <s v="Current Employees"/>
    <x v="0"/>
    <x v="3"/>
    <x v="1018"/>
    <x v="1018"/>
    <x v="0"/>
    <x v="0"/>
    <x v="1"/>
    <s v="No"/>
    <s v="Y"/>
    <n v="3"/>
    <n v="-2"/>
    <n v="0"/>
    <x v="12"/>
    <x v="1"/>
    <m/>
    <n v="0"/>
    <n v="1"/>
    <n v="1125"/>
    <n v="7"/>
    <x v="2"/>
    <x v="0"/>
    <n v="1"/>
    <n v="68"/>
    <n v="3"/>
    <n v="3"/>
    <x v="1"/>
    <n v="9637"/>
    <n v="8277"/>
    <n v="2"/>
    <n v="14"/>
    <n v="3"/>
    <n v="4"/>
    <n v="80"/>
    <n v="2"/>
    <n v="9"/>
    <n v="3"/>
    <n v="3"/>
    <n v="2"/>
    <n v="2"/>
    <n v="2"/>
  </r>
  <r>
    <s v="No"/>
    <s v="Travel_Rarely"/>
    <x v="2"/>
    <s v="Current Employees"/>
    <x v="2"/>
    <x v="5"/>
    <x v="1019"/>
    <x v="1019"/>
    <x v="0"/>
    <x v="8"/>
    <x v="1"/>
    <s v="No"/>
    <s v="Y"/>
    <n v="3"/>
    <n v="-2"/>
    <n v="0"/>
    <x v="36"/>
    <x v="1"/>
    <m/>
    <n v="0"/>
    <n v="1"/>
    <n v="309"/>
    <n v="2"/>
    <x v="3"/>
    <x v="0"/>
    <n v="3"/>
    <n v="82"/>
    <n v="3"/>
    <n v="1"/>
    <x v="1"/>
    <n v="2187"/>
    <n v="19655"/>
    <n v="4"/>
    <n v="14"/>
    <n v="3"/>
    <n v="3"/>
    <n v="80"/>
    <n v="0"/>
    <n v="6"/>
    <n v="3"/>
    <n v="2"/>
    <n v="0"/>
    <n v="1"/>
    <n v="2"/>
  </r>
  <r>
    <s v="No"/>
    <s v="Travel_Rarely"/>
    <x v="1"/>
    <s v="Current Employees"/>
    <x v="2"/>
    <x v="0"/>
    <x v="1020"/>
    <x v="1020"/>
    <x v="0"/>
    <x v="5"/>
    <x v="1"/>
    <s v="No"/>
    <s v="Y"/>
    <n v="2"/>
    <n v="-2"/>
    <n v="0"/>
    <x v="40"/>
    <x v="1"/>
    <m/>
    <n v="0"/>
    <n v="1"/>
    <n v="1176"/>
    <n v="26"/>
    <x v="2"/>
    <x v="0"/>
    <n v="4"/>
    <n v="98"/>
    <n v="3"/>
    <n v="5"/>
    <x v="2"/>
    <n v="19658"/>
    <n v="5220"/>
    <n v="3"/>
    <n v="11"/>
    <n v="3"/>
    <n v="3"/>
    <n v="80"/>
    <n v="1"/>
    <n v="27"/>
    <n v="3"/>
    <n v="5"/>
    <n v="2"/>
    <n v="1"/>
    <n v="0"/>
  </r>
  <r>
    <s v="No"/>
    <s v="Travel_Rarely"/>
    <x v="2"/>
    <s v="Current Employees"/>
    <x v="2"/>
    <x v="2"/>
    <x v="1021"/>
    <x v="1021"/>
    <x v="0"/>
    <x v="8"/>
    <x v="0"/>
    <s v="No"/>
    <s v="Y"/>
    <n v="3"/>
    <n v="-2"/>
    <n v="0"/>
    <x v="12"/>
    <x v="1"/>
    <m/>
    <n v="0"/>
    <n v="1"/>
    <n v="1398"/>
    <n v="8"/>
    <x v="0"/>
    <x v="0"/>
    <n v="4"/>
    <n v="96"/>
    <n v="4"/>
    <n v="1"/>
    <x v="1"/>
    <n v="2109"/>
    <n v="24609"/>
    <n v="9"/>
    <n v="18"/>
    <n v="3"/>
    <n v="4"/>
    <n v="80"/>
    <n v="0"/>
    <n v="8"/>
    <n v="3"/>
    <n v="3"/>
    <n v="2"/>
    <n v="0"/>
    <n v="2"/>
  </r>
  <r>
    <s v="No"/>
    <s v="Travel_Rarely"/>
    <x v="2"/>
    <s v="Current Employees"/>
    <x v="1"/>
    <x v="2"/>
    <x v="1022"/>
    <x v="1022"/>
    <x v="0"/>
    <x v="2"/>
    <x v="2"/>
    <s v="No"/>
    <s v="Y"/>
    <n v="0"/>
    <n v="-2"/>
    <n v="0"/>
    <x v="12"/>
    <x v="1"/>
    <m/>
    <n v="0"/>
    <n v="1"/>
    <n v="471"/>
    <n v="4"/>
    <x v="3"/>
    <x v="0"/>
    <n v="1"/>
    <n v="62"/>
    <n v="4"/>
    <n v="1"/>
    <x v="2"/>
    <n v="3978"/>
    <n v="16031"/>
    <n v="8"/>
    <n v="12"/>
    <n v="3"/>
    <n v="2"/>
    <n v="80"/>
    <n v="1"/>
    <n v="4"/>
    <n v="2"/>
    <n v="2"/>
    <n v="2"/>
    <n v="2"/>
    <n v="2"/>
  </r>
  <r>
    <s v="No"/>
    <s v="Travel_Rarely"/>
    <x v="0"/>
    <s v="Current Employees"/>
    <x v="1"/>
    <x v="0"/>
    <x v="1023"/>
    <x v="1023"/>
    <x v="0"/>
    <x v="4"/>
    <x v="2"/>
    <s v="No"/>
    <s v="Y"/>
    <n v="3"/>
    <n v="-2"/>
    <n v="0"/>
    <x v="32"/>
    <x v="1"/>
    <m/>
    <n v="0"/>
    <n v="1"/>
    <n v="750"/>
    <n v="12"/>
    <x v="3"/>
    <x v="0"/>
    <n v="2"/>
    <n v="47"/>
    <n v="3"/>
    <n v="2"/>
    <x v="2"/>
    <n v="4448"/>
    <n v="10748"/>
    <n v="2"/>
    <n v="12"/>
    <n v="3"/>
    <n v="2"/>
    <n v="80"/>
    <n v="1"/>
    <n v="15"/>
    <n v="3"/>
    <n v="7"/>
    <n v="4"/>
    <n v="7"/>
    <n v="7"/>
  </r>
  <r>
    <s v="No"/>
    <s v="Travel_Rarely"/>
    <x v="0"/>
    <s v="Current Employees"/>
    <x v="1"/>
    <x v="0"/>
    <x v="1024"/>
    <x v="1024"/>
    <x v="0"/>
    <x v="4"/>
    <x v="2"/>
    <s v="No"/>
    <s v="Y"/>
    <n v="3"/>
    <n v="-2"/>
    <n v="0"/>
    <x v="32"/>
    <x v="1"/>
    <m/>
    <n v="0"/>
    <n v="1"/>
    <n v="1194"/>
    <n v="1"/>
    <x v="3"/>
    <x v="0"/>
    <n v="3"/>
    <n v="52"/>
    <n v="3"/>
    <n v="2"/>
    <x v="0"/>
    <n v="6513"/>
    <n v="9060"/>
    <n v="4"/>
    <n v="17"/>
    <n v="3"/>
    <n v="4"/>
    <n v="80"/>
    <n v="1"/>
    <n v="12"/>
    <n v="3"/>
    <n v="5"/>
    <n v="3"/>
    <n v="0"/>
    <n v="3"/>
  </r>
  <r>
    <s v="No"/>
    <s v="Travel_Rarely"/>
    <x v="2"/>
    <s v="Current Employees"/>
    <x v="1"/>
    <x v="4"/>
    <x v="1025"/>
    <x v="1025"/>
    <x v="0"/>
    <x v="1"/>
    <x v="2"/>
    <s v="No"/>
    <s v="Y"/>
    <n v="2"/>
    <n v="-2"/>
    <n v="0"/>
    <x v="11"/>
    <x v="1"/>
    <m/>
    <n v="0"/>
    <n v="1"/>
    <n v="590"/>
    <n v="4"/>
    <x v="3"/>
    <x v="0"/>
    <n v="4"/>
    <n v="91"/>
    <n v="2"/>
    <n v="1"/>
    <x v="0"/>
    <n v="2109"/>
    <n v="10007"/>
    <n v="1"/>
    <n v="13"/>
    <n v="3"/>
    <n v="3"/>
    <n v="80"/>
    <n v="1"/>
    <n v="1"/>
    <n v="3"/>
    <n v="1"/>
    <n v="0"/>
    <n v="0"/>
    <n v="0"/>
  </r>
  <r>
    <s v="No"/>
    <s v="Travel_Rarely"/>
    <x v="2"/>
    <s v="Current Employees"/>
    <x v="1"/>
    <x v="0"/>
    <x v="1026"/>
    <x v="1026"/>
    <x v="0"/>
    <x v="1"/>
    <x v="2"/>
    <s v="No"/>
    <s v="Y"/>
    <n v="2"/>
    <n v="-2"/>
    <n v="0"/>
    <x v="13"/>
    <x v="1"/>
    <m/>
    <n v="0"/>
    <n v="1"/>
    <n v="1130"/>
    <n v="3"/>
    <x v="3"/>
    <x v="0"/>
    <n v="4"/>
    <n v="66"/>
    <n v="3"/>
    <n v="2"/>
    <x v="1"/>
    <n v="5433"/>
    <n v="19332"/>
    <n v="1"/>
    <n v="12"/>
    <n v="3"/>
    <n v="3"/>
    <n v="80"/>
    <n v="1"/>
    <n v="11"/>
    <n v="3"/>
    <n v="11"/>
    <n v="8"/>
    <n v="7"/>
    <n v="9"/>
  </r>
  <r>
    <s v="No"/>
    <s v="Travel_Rarely"/>
    <x v="1"/>
    <s v="Current Employees"/>
    <x v="1"/>
    <x v="1"/>
    <x v="1027"/>
    <x v="1027"/>
    <x v="0"/>
    <x v="3"/>
    <x v="2"/>
    <s v="No"/>
    <s v="Y"/>
    <n v="3"/>
    <n v="-2"/>
    <n v="0"/>
    <x v="28"/>
    <x v="1"/>
    <m/>
    <n v="0"/>
    <n v="1"/>
    <n v="1329"/>
    <n v="2"/>
    <x v="0"/>
    <x v="0"/>
    <n v="4"/>
    <n v="59"/>
    <n v="2"/>
    <n v="2"/>
    <x v="0"/>
    <n v="5770"/>
    <n v="5388"/>
    <n v="1"/>
    <n v="19"/>
    <n v="3"/>
    <n v="1"/>
    <n v="80"/>
    <n v="2"/>
    <n v="10"/>
    <n v="3"/>
    <n v="10"/>
    <n v="7"/>
    <n v="3"/>
    <n v="9"/>
  </r>
  <r>
    <s v="No"/>
    <s v="Travel_Rarely"/>
    <x v="1"/>
    <s v="Current Employees"/>
    <x v="1"/>
    <x v="0"/>
    <x v="1028"/>
    <x v="1028"/>
    <x v="0"/>
    <x v="7"/>
    <x v="2"/>
    <s v="No"/>
    <s v="Y"/>
    <n v="3"/>
    <n v="-2"/>
    <n v="0"/>
    <x v="24"/>
    <x v="1"/>
    <m/>
    <n v="0"/>
    <n v="1"/>
    <n v="813"/>
    <n v="17"/>
    <x v="4"/>
    <x v="0"/>
    <n v="4"/>
    <n v="50"/>
    <n v="2"/>
    <n v="3"/>
    <x v="2"/>
    <n v="13269"/>
    <n v="21981"/>
    <n v="5"/>
    <n v="15"/>
    <n v="3"/>
    <n v="3"/>
    <n v="80"/>
    <n v="3"/>
    <n v="19"/>
    <n v="3"/>
    <n v="14"/>
    <n v="11"/>
    <n v="1"/>
    <n v="11"/>
  </r>
  <r>
    <s v="No"/>
    <s v="Travel_Rarely"/>
    <x v="2"/>
    <s v="Current Employees"/>
    <x v="1"/>
    <x v="2"/>
    <x v="1029"/>
    <x v="1029"/>
    <x v="0"/>
    <x v="2"/>
    <x v="1"/>
    <s v="No"/>
    <s v="Y"/>
    <n v="5"/>
    <n v="-2"/>
    <n v="0"/>
    <x v="3"/>
    <x v="1"/>
    <m/>
    <n v="0"/>
    <n v="1"/>
    <n v="1099"/>
    <n v="4"/>
    <x v="2"/>
    <x v="0"/>
    <n v="1"/>
    <n v="82"/>
    <n v="2"/>
    <n v="1"/>
    <x v="1"/>
    <n v="3838"/>
    <n v="8192"/>
    <n v="8"/>
    <n v="11"/>
    <n v="3"/>
    <n v="4"/>
    <n v="80"/>
    <n v="0"/>
    <n v="8"/>
    <n v="3"/>
    <n v="5"/>
    <n v="4"/>
    <n v="0"/>
    <n v="2"/>
  </r>
  <r>
    <s v="No"/>
    <s v="Travel_Rarely"/>
    <x v="0"/>
    <s v="Current Employees"/>
    <x v="1"/>
    <x v="2"/>
    <x v="1030"/>
    <x v="1030"/>
    <x v="0"/>
    <x v="5"/>
    <x v="1"/>
    <s v="No"/>
    <s v="Y"/>
    <n v="2"/>
    <n v="-2"/>
    <n v="0"/>
    <x v="23"/>
    <x v="1"/>
    <m/>
    <n v="0"/>
    <n v="1"/>
    <n v="823"/>
    <n v="6"/>
    <x v="3"/>
    <x v="0"/>
    <n v="1"/>
    <n v="81"/>
    <n v="2"/>
    <n v="5"/>
    <x v="2"/>
    <n v="19392"/>
    <n v="22539"/>
    <n v="7"/>
    <n v="13"/>
    <n v="3"/>
    <n v="4"/>
    <n v="80"/>
    <n v="0"/>
    <n v="21"/>
    <n v="3"/>
    <n v="16"/>
    <n v="12"/>
    <n v="6"/>
    <n v="14"/>
  </r>
  <r>
    <s v="No"/>
    <s v="Travel_Rarely"/>
    <x v="1"/>
    <s v="Current Employees"/>
    <x v="1"/>
    <x v="4"/>
    <x v="1031"/>
    <x v="1031"/>
    <x v="0"/>
    <x v="5"/>
    <x v="1"/>
    <s v="No"/>
    <s v="Y"/>
    <n v="2"/>
    <n v="-2"/>
    <n v="0"/>
    <x v="31"/>
    <x v="1"/>
    <m/>
    <n v="0"/>
    <n v="1"/>
    <n v="942"/>
    <n v="3"/>
    <x v="3"/>
    <x v="0"/>
    <n v="4"/>
    <n v="53"/>
    <n v="3"/>
    <n v="3"/>
    <x v="0"/>
    <n v="13116"/>
    <n v="22984"/>
    <n v="2"/>
    <n v="11"/>
    <n v="3"/>
    <n v="4"/>
    <n v="80"/>
    <n v="0"/>
    <n v="15"/>
    <n v="3"/>
    <n v="2"/>
    <n v="2"/>
    <n v="2"/>
    <n v="2"/>
  </r>
  <r>
    <s v="No"/>
    <s v="Travel_Rarely"/>
    <x v="2"/>
    <s v="Current Employees"/>
    <x v="1"/>
    <x v="0"/>
    <x v="1032"/>
    <x v="1032"/>
    <x v="0"/>
    <x v="1"/>
    <x v="1"/>
    <s v="No"/>
    <s v="Y"/>
    <n v="3"/>
    <n v="-2"/>
    <n v="0"/>
    <x v="13"/>
    <x v="1"/>
    <m/>
    <n v="0"/>
    <n v="1"/>
    <n v="678"/>
    <n v="19"/>
    <x v="3"/>
    <x v="0"/>
    <n v="2"/>
    <n v="35"/>
    <n v="2"/>
    <n v="1"/>
    <x v="0"/>
    <n v="2929"/>
    <n v="20338"/>
    <n v="1"/>
    <n v="12"/>
    <n v="3"/>
    <n v="2"/>
    <n v="80"/>
    <n v="0"/>
    <n v="10"/>
    <n v="3"/>
    <n v="10"/>
    <n v="9"/>
    <n v="8"/>
    <n v="7"/>
  </r>
  <r>
    <s v="No"/>
    <s v="Travel_Rarely"/>
    <x v="2"/>
    <s v="Current Employees"/>
    <x v="1"/>
    <x v="2"/>
    <x v="1033"/>
    <x v="1033"/>
    <x v="0"/>
    <x v="1"/>
    <x v="1"/>
    <s v="No"/>
    <s v="Y"/>
    <n v="0"/>
    <n v="-2"/>
    <n v="0"/>
    <x v="4"/>
    <x v="1"/>
    <m/>
    <n v="0"/>
    <n v="1"/>
    <n v="486"/>
    <n v="8"/>
    <x v="3"/>
    <x v="0"/>
    <n v="2"/>
    <n v="86"/>
    <n v="4"/>
    <n v="1"/>
    <x v="2"/>
    <n v="3517"/>
    <n v="22490"/>
    <n v="7"/>
    <n v="17"/>
    <n v="3"/>
    <n v="1"/>
    <n v="80"/>
    <n v="0"/>
    <n v="5"/>
    <n v="3"/>
    <n v="3"/>
    <n v="2"/>
    <n v="0"/>
    <n v="2"/>
  </r>
  <r>
    <s v="No"/>
    <s v="Travel_Rarely"/>
    <x v="1"/>
    <s v="Current Employees"/>
    <x v="1"/>
    <x v="1"/>
    <x v="1034"/>
    <x v="1034"/>
    <x v="0"/>
    <x v="2"/>
    <x v="1"/>
    <s v="No"/>
    <s v="Y"/>
    <n v="2"/>
    <n v="-2"/>
    <n v="0"/>
    <x v="39"/>
    <x v="1"/>
    <m/>
    <n v="0"/>
    <n v="1"/>
    <n v="258"/>
    <n v="8"/>
    <x v="2"/>
    <x v="0"/>
    <n v="3"/>
    <n v="54"/>
    <n v="3"/>
    <n v="1"/>
    <x v="2"/>
    <n v="2950"/>
    <n v="17363"/>
    <n v="9"/>
    <n v="13"/>
    <n v="3"/>
    <n v="3"/>
    <n v="80"/>
    <n v="0"/>
    <n v="12"/>
    <n v="1"/>
    <n v="5"/>
    <n v="4"/>
    <n v="0"/>
    <n v="4"/>
  </r>
  <r>
    <s v="No"/>
    <s v="Travel_Rarely"/>
    <x v="0"/>
    <s v="Current Employees"/>
    <x v="1"/>
    <x v="2"/>
    <x v="1035"/>
    <x v="1035"/>
    <x v="0"/>
    <x v="7"/>
    <x v="1"/>
    <s v="No"/>
    <s v="Y"/>
    <n v="3"/>
    <n v="-2"/>
    <n v="0"/>
    <x v="8"/>
    <x v="1"/>
    <m/>
    <n v="0"/>
    <n v="1"/>
    <n v="201"/>
    <n v="10"/>
    <x v="3"/>
    <x v="0"/>
    <n v="2"/>
    <n v="99"/>
    <n v="1"/>
    <n v="3"/>
    <x v="2"/>
    <n v="13206"/>
    <n v="3376"/>
    <n v="3"/>
    <n v="12"/>
    <n v="3"/>
    <n v="1"/>
    <n v="80"/>
    <n v="1"/>
    <n v="20"/>
    <n v="3"/>
    <n v="18"/>
    <n v="16"/>
    <n v="1"/>
    <n v="11"/>
  </r>
  <r>
    <s v="No"/>
    <s v="Travel_Rarely"/>
    <x v="0"/>
    <s v="Current Employees"/>
    <x v="1"/>
    <x v="2"/>
    <x v="1036"/>
    <x v="1036"/>
    <x v="0"/>
    <x v="1"/>
    <x v="1"/>
    <s v="No"/>
    <s v="Y"/>
    <n v="2"/>
    <n v="-2"/>
    <n v="0"/>
    <x v="2"/>
    <x v="1"/>
    <m/>
    <n v="0"/>
    <n v="1"/>
    <n v="1470"/>
    <n v="10"/>
    <x v="3"/>
    <x v="0"/>
    <n v="2"/>
    <n v="71"/>
    <n v="3"/>
    <n v="1"/>
    <x v="1"/>
    <n v="3936"/>
    <n v="9953"/>
    <n v="1"/>
    <n v="11"/>
    <n v="3"/>
    <n v="1"/>
    <n v="80"/>
    <n v="1"/>
    <n v="8"/>
    <n v="1"/>
    <n v="8"/>
    <n v="4"/>
    <n v="7"/>
    <n v="7"/>
  </r>
  <r>
    <s v="No"/>
    <s v="Travel_Rarely"/>
    <x v="2"/>
    <s v="Current Employees"/>
    <x v="1"/>
    <x v="1"/>
    <x v="1037"/>
    <x v="1037"/>
    <x v="0"/>
    <x v="4"/>
    <x v="1"/>
    <s v="No"/>
    <s v="Y"/>
    <n v="3"/>
    <n v="-2"/>
    <n v="0"/>
    <x v="11"/>
    <x v="1"/>
    <m/>
    <n v="0"/>
    <n v="1"/>
    <n v="441"/>
    <n v="8"/>
    <x v="1"/>
    <x v="0"/>
    <n v="3"/>
    <n v="39"/>
    <n v="1"/>
    <n v="2"/>
    <x v="2"/>
    <n v="9715"/>
    <n v="7288"/>
    <n v="3"/>
    <n v="13"/>
    <n v="3"/>
    <n v="3"/>
    <n v="80"/>
    <n v="1"/>
    <n v="9"/>
    <n v="3"/>
    <n v="7"/>
    <n v="7"/>
    <n v="0"/>
    <n v="7"/>
  </r>
  <r>
    <s v="No"/>
    <s v="Travel_Rarely"/>
    <x v="0"/>
    <s v="Current Employees"/>
    <x v="1"/>
    <x v="0"/>
    <x v="1038"/>
    <x v="1038"/>
    <x v="0"/>
    <x v="1"/>
    <x v="1"/>
    <s v="No"/>
    <s v="Y"/>
    <n v="5"/>
    <n v="-2"/>
    <n v="0"/>
    <x v="10"/>
    <x v="1"/>
    <m/>
    <n v="0"/>
    <n v="1"/>
    <n v="287"/>
    <n v="1"/>
    <x v="2"/>
    <x v="0"/>
    <n v="3"/>
    <n v="62"/>
    <n v="1"/>
    <n v="1"/>
    <x v="0"/>
    <n v="2977"/>
    <n v="8952"/>
    <n v="1"/>
    <n v="12"/>
    <n v="3"/>
    <n v="4"/>
    <n v="80"/>
    <n v="1"/>
    <n v="4"/>
    <n v="3"/>
    <n v="4"/>
    <n v="3"/>
    <n v="1"/>
    <n v="1"/>
  </r>
  <r>
    <s v="No"/>
    <s v="Travel_Rarely"/>
    <x v="0"/>
    <s v="Current Employees"/>
    <x v="1"/>
    <x v="0"/>
    <x v="1039"/>
    <x v="1039"/>
    <x v="0"/>
    <x v="2"/>
    <x v="1"/>
    <s v="No"/>
    <s v="Y"/>
    <n v="5"/>
    <n v="-2"/>
    <n v="0"/>
    <x v="32"/>
    <x v="1"/>
    <m/>
    <n v="0"/>
    <n v="1"/>
    <n v="616"/>
    <n v="2"/>
    <x v="0"/>
    <x v="0"/>
    <n v="3"/>
    <n v="99"/>
    <n v="3"/>
    <n v="1"/>
    <x v="2"/>
    <n v="3377"/>
    <n v="25605"/>
    <n v="4"/>
    <n v="17"/>
    <n v="3"/>
    <n v="4"/>
    <n v="80"/>
    <n v="1"/>
    <n v="7"/>
    <n v="2"/>
    <n v="4"/>
    <n v="3"/>
    <n v="0"/>
    <n v="2"/>
  </r>
  <r>
    <s v="No"/>
    <s v="Travel_Rarely"/>
    <x v="1"/>
    <s v="Current Employees"/>
    <x v="1"/>
    <x v="0"/>
    <x v="1040"/>
    <x v="1040"/>
    <x v="0"/>
    <x v="2"/>
    <x v="1"/>
    <s v="No"/>
    <s v="Y"/>
    <n v="3"/>
    <n v="-2"/>
    <n v="0"/>
    <x v="1"/>
    <x v="1"/>
    <m/>
    <n v="0"/>
    <n v="1"/>
    <n v="722"/>
    <n v="25"/>
    <x v="2"/>
    <x v="0"/>
    <n v="3"/>
    <n v="84"/>
    <n v="3"/>
    <n v="1"/>
    <x v="2"/>
    <n v="3211"/>
    <n v="22102"/>
    <n v="1"/>
    <n v="14"/>
    <n v="3"/>
    <n v="4"/>
    <n v="80"/>
    <n v="1"/>
    <n v="10"/>
    <n v="2"/>
    <n v="9"/>
    <n v="6"/>
    <n v="1"/>
    <n v="4"/>
  </r>
  <r>
    <s v="No"/>
    <s v="Travel_Rarely"/>
    <x v="1"/>
    <s v="Current Employees"/>
    <x v="1"/>
    <x v="1"/>
    <x v="1041"/>
    <x v="1041"/>
    <x v="0"/>
    <x v="1"/>
    <x v="1"/>
    <s v="No"/>
    <s v="Y"/>
    <n v="3"/>
    <n v="-2"/>
    <n v="0"/>
    <x v="26"/>
    <x v="1"/>
    <m/>
    <n v="0"/>
    <n v="1"/>
    <n v="1108"/>
    <n v="15"/>
    <x v="2"/>
    <x v="0"/>
    <n v="3"/>
    <n v="65"/>
    <n v="3"/>
    <n v="1"/>
    <x v="2"/>
    <n v="2367"/>
    <n v="16530"/>
    <n v="8"/>
    <n v="12"/>
    <n v="3"/>
    <n v="4"/>
    <n v="80"/>
    <n v="1"/>
    <n v="10"/>
    <n v="2"/>
    <n v="8"/>
    <n v="2"/>
    <n v="7"/>
    <n v="6"/>
  </r>
  <r>
    <s v="No"/>
    <s v="Travel_Rarely"/>
    <x v="2"/>
    <s v="Current Employees"/>
    <x v="1"/>
    <x v="0"/>
    <x v="1042"/>
    <x v="1042"/>
    <x v="0"/>
    <x v="2"/>
    <x v="1"/>
    <s v="No"/>
    <s v="Y"/>
    <n v="2"/>
    <n v="-2"/>
    <n v="0"/>
    <x v="13"/>
    <x v="1"/>
    <m/>
    <n v="0"/>
    <n v="1"/>
    <n v="401"/>
    <n v="1"/>
    <x v="3"/>
    <x v="0"/>
    <n v="4"/>
    <n v="86"/>
    <n v="2"/>
    <n v="1"/>
    <x v="1"/>
    <n v="3294"/>
    <n v="3708"/>
    <n v="5"/>
    <n v="17"/>
    <n v="3"/>
    <n v="1"/>
    <n v="80"/>
    <n v="1"/>
    <n v="7"/>
    <n v="2"/>
    <n v="5"/>
    <n v="4"/>
    <n v="0"/>
    <n v="2"/>
  </r>
  <r>
    <s v="No"/>
    <s v="Travel_Rarely"/>
    <x v="2"/>
    <s v="Current Employees"/>
    <x v="1"/>
    <x v="0"/>
    <x v="1043"/>
    <x v="1043"/>
    <x v="0"/>
    <x v="1"/>
    <x v="1"/>
    <s v="No"/>
    <s v="Y"/>
    <n v="2"/>
    <n v="-2"/>
    <n v="0"/>
    <x v="5"/>
    <x v="1"/>
    <m/>
    <n v="0"/>
    <n v="1"/>
    <n v="824"/>
    <n v="5"/>
    <x v="0"/>
    <x v="0"/>
    <n v="4"/>
    <n v="67"/>
    <n v="2"/>
    <n v="2"/>
    <x v="1"/>
    <n v="5878"/>
    <n v="15624"/>
    <n v="3"/>
    <n v="12"/>
    <n v="3"/>
    <n v="1"/>
    <n v="80"/>
    <n v="1"/>
    <n v="12"/>
    <n v="3"/>
    <n v="7"/>
    <n v="1"/>
    <n v="2"/>
    <n v="5"/>
  </r>
  <r>
    <s v="No"/>
    <s v="Travel_Rarely"/>
    <x v="0"/>
    <s v="Current Employees"/>
    <x v="1"/>
    <x v="1"/>
    <x v="1044"/>
    <x v="1044"/>
    <x v="0"/>
    <x v="2"/>
    <x v="1"/>
    <s v="No"/>
    <s v="Y"/>
    <n v="3"/>
    <n v="-2"/>
    <n v="0"/>
    <x v="8"/>
    <x v="1"/>
    <m/>
    <n v="0"/>
    <n v="1"/>
    <n v="1153"/>
    <n v="6"/>
    <x v="0"/>
    <x v="0"/>
    <n v="4"/>
    <n v="40"/>
    <n v="2"/>
    <n v="1"/>
    <x v="2"/>
    <n v="3702"/>
    <n v="16376"/>
    <n v="1"/>
    <n v="11"/>
    <n v="3"/>
    <n v="2"/>
    <n v="80"/>
    <n v="1"/>
    <n v="5"/>
    <n v="3"/>
    <n v="5"/>
    <n v="4"/>
    <n v="0"/>
    <n v="4"/>
  </r>
  <r>
    <s v="No"/>
    <s v="Travel_Rarely"/>
    <x v="0"/>
    <s v="Current Employees"/>
    <x v="1"/>
    <x v="2"/>
    <x v="1045"/>
    <x v="1045"/>
    <x v="0"/>
    <x v="2"/>
    <x v="1"/>
    <s v="No"/>
    <s v="Y"/>
    <n v="5"/>
    <n v="-2"/>
    <n v="0"/>
    <x v="8"/>
    <x v="1"/>
    <m/>
    <n v="0"/>
    <n v="1"/>
    <n v="1495"/>
    <n v="4"/>
    <x v="0"/>
    <x v="0"/>
    <n v="4"/>
    <n v="87"/>
    <n v="3"/>
    <n v="1"/>
    <x v="2"/>
    <n v="3306"/>
    <n v="26176"/>
    <n v="7"/>
    <n v="19"/>
    <n v="3"/>
    <n v="4"/>
    <n v="80"/>
    <n v="1"/>
    <n v="7"/>
    <n v="2"/>
    <n v="0"/>
    <n v="0"/>
    <n v="0"/>
    <n v="0"/>
  </r>
  <r>
    <s v="No"/>
    <s v="Travel_Rarely"/>
    <x v="2"/>
    <s v="Current Employees"/>
    <x v="1"/>
    <x v="2"/>
    <x v="1046"/>
    <x v="1046"/>
    <x v="0"/>
    <x v="2"/>
    <x v="1"/>
    <s v="No"/>
    <s v="Y"/>
    <n v="2"/>
    <n v="-2"/>
    <n v="0"/>
    <x v="11"/>
    <x v="1"/>
    <m/>
    <n v="0"/>
    <n v="1"/>
    <n v="1082"/>
    <n v="9"/>
    <x v="2"/>
    <x v="0"/>
    <n v="4"/>
    <n v="43"/>
    <n v="3"/>
    <n v="1"/>
    <x v="2"/>
    <n v="2974"/>
    <n v="25412"/>
    <n v="9"/>
    <n v="17"/>
    <n v="3"/>
    <n v="3"/>
    <n v="80"/>
    <n v="1"/>
    <n v="9"/>
    <n v="3"/>
    <n v="5"/>
    <n v="3"/>
    <n v="1"/>
    <n v="2"/>
  </r>
  <r>
    <s v="No"/>
    <s v="Travel_Rarely"/>
    <x v="1"/>
    <s v="Current Employees"/>
    <x v="1"/>
    <x v="2"/>
    <x v="1047"/>
    <x v="1047"/>
    <x v="0"/>
    <x v="1"/>
    <x v="1"/>
    <s v="No"/>
    <s v="Y"/>
    <n v="2"/>
    <n v="-2"/>
    <n v="0"/>
    <x v="33"/>
    <x v="1"/>
    <m/>
    <n v="0"/>
    <n v="1"/>
    <n v="431"/>
    <n v="7"/>
    <x v="2"/>
    <x v="0"/>
    <n v="4"/>
    <n v="68"/>
    <n v="3"/>
    <n v="2"/>
    <x v="0"/>
    <n v="6854"/>
    <n v="15696"/>
    <n v="4"/>
    <n v="15"/>
    <n v="3"/>
    <n v="2"/>
    <n v="80"/>
    <n v="1"/>
    <n v="14"/>
    <n v="2"/>
    <n v="7"/>
    <n v="1"/>
    <n v="1"/>
    <n v="7"/>
  </r>
  <r>
    <s v="No"/>
    <s v="Travel_Rarely"/>
    <x v="0"/>
    <s v="Current Employees"/>
    <x v="1"/>
    <x v="0"/>
    <x v="1048"/>
    <x v="1048"/>
    <x v="0"/>
    <x v="3"/>
    <x v="1"/>
    <s v="No"/>
    <s v="Y"/>
    <n v="2"/>
    <n v="-2"/>
    <n v="0"/>
    <x v="32"/>
    <x v="1"/>
    <m/>
    <n v="0"/>
    <n v="1"/>
    <n v="884"/>
    <n v="15"/>
    <x v="3"/>
    <x v="0"/>
    <n v="1"/>
    <n v="80"/>
    <n v="2"/>
    <n v="3"/>
    <x v="2"/>
    <n v="10435"/>
    <n v="25800"/>
    <n v="1"/>
    <n v="13"/>
    <n v="3"/>
    <n v="4"/>
    <n v="80"/>
    <n v="2"/>
    <n v="18"/>
    <n v="3"/>
    <n v="18"/>
    <n v="15"/>
    <n v="14"/>
    <n v="12"/>
  </r>
  <r>
    <s v="No"/>
    <s v="Travel_Rarely"/>
    <x v="1"/>
    <s v="Current Employees"/>
    <x v="1"/>
    <x v="1"/>
    <x v="1049"/>
    <x v="1049"/>
    <x v="0"/>
    <x v="7"/>
    <x v="1"/>
    <s v="No"/>
    <s v="Y"/>
    <n v="2"/>
    <n v="-2"/>
    <n v="0"/>
    <x v="1"/>
    <x v="1"/>
    <m/>
    <n v="0"/>
    <n v="1"/>
    <n v="301"/>
    <n v="22"/>
    <x v="2"/>
    <x v="0"/>
    <n v="1"/>
    <n v="72"/>
    <n v="3"/>
    <n v="4"/>
    <x v="1"/>
    <n v="16413"/>
    <n v="3498"/>
    <n v="3"/>
    <n v="16"/>
    <n v="3"/>
    <n v="2"/>
    <n v="80"/>
    <n v="2"/>
    <n v="27"/>
    <n v="3"/>
    <n v="4"/>
    <n v="2"/>
    <n v="1"/>
    <n v="2"/>
  </r>
  <r>
    <s v="No"/>
    <s v="Travel_Rarely"/>
    <x v="1"/>
    <s v="Current Employees"/>
    <x v="1"/>
    <x v="0"/>
    <x v="1050"/>
    <x v="1050"/>
    <x v="0"/>
    <x v="1"/>
    <x v="1"/>
    <s v="No"/>
    <s v="Y"/>
    <n v="6"/>
    <n v="-2"/>
    <n v="0"/>
    <x v="33"/>
    <x v="1"/>
    <m/>
    <n v="0"/>
    <n v="1"/>
    <n v="155"/>
    <n v="9"/>
    <x v="0"/>
    <x v="0"/>
    <n v="1"/>
    <n v="67"/>
    <n v="3"/>
    <n v="2"/>
    <x v="2"/>
    <n v="2897"/>
    <n v="22474"/>
    <n v="3"/>
    <n v="11"/>
    <n v="3"/>
    <n v="3"/>
    <n v="80"/>
    <n v="2"/>
    <n v="9"/>
    <n v="2"/>
    <n v="4"/>
    <n v="3"/>
    <n v="2"/>
    <n v="3"/>
  </r>
  <r>
    <s v="No"/>
    <s v="Travel_Rarely"/>
    <x v="1"/>
    <s v="Current Employees"/>
    <x v="1"/>
    <x v="2"/>
    <x v="1051"/>
    <x v="1051"/>
    <x v="0"/>
    <x v="7"/>
    <x v="1"/>
    <s v="No"/>
    <s v="Y"/>
    <n v="2"/>
    <n v="-2"/>
    <n v="0"/>
    <x v="40"/>
    <x v="1"/>
    <m/>
    <n v="0"/>
    <n v="1"/>
    <n v="359"/>
    <n v="2"/>
    <x v="2"/>
    <x v="0"/>
    <n v="1"/>
    <n v="82"/>
    <n v="3"/>
    <n v="4"/>
    <x v="2"/>
    <n v="17169"/>
    <n v="26703"/>
    <n v="3"/>
    <n v="19"/>
    <n v="3"/>
    <n v="2"/>
    <n v="80"/>
    <n v="2"/>
    <n v="26"/>
    <n v="4"/>
    <n v="20"/>
    <n v="17"/>
    <n v="5"/>
    <n v="6"/>
  </r>
  <r>
    <s v="No"/>
    <s v="Travel_Rarely"/>
    <x v="1"/>
    <s v="Current Employees"/>
    <x v="1"/>
    <x v="0"/>
    <x v="1052"/>
    <x v="1052"/>
    <x v="0"/>
    <x v="3"/>
    <x v="1"/>
    <s v="No"/>
    <s v="Y"/>
    <n v="2"/>
    <n v="-2"/>
    <n v="0"/>
    <x v="28"/>
    <x v="1"/>
    <m/>
    <n v="0"/>
    <n v="1"/>
    <n v="556"/>
    <n v="25"/>
    <x v="0"/>
    <x v="0"/>
    <n v="2"/>
    <n v="93"/>
    <n v="2"/>
    <n v="2"/>
    <x v="0"/>
    <n v="5906"/>
    <n v="23888"/>
    <n v="0"/>
    <n v="13"/>
    <n v="3"/>
    <n v="4"/>
    <n v="80"/>
    <n v="2"/>
    <n v="10"/>
    <n v="2"/>
    <n v="9"/>
    <n v="8"/>
    <n v="3"/>
    <n v="8"/>
  </r>
  <r>
    <s v="No"/>
    <s v="Travel_Rarely"/>
    <x v="0"/>
    <s v="Current Employees"/>
    <x v="1"/>
    <x v="0"/>
    <x v="1053"/>
    <x v="1053"/>
    <x v="0"/>
    <x v="4"/>
    <x v="1"/>
    <s v="No"/>
    <s v="Y"/>
    <n v="6"/>
    <n v="-2"/>
    <n v="0"/>
    <x v="9"/>
    <x v="1"/>
    <m/>
    <n v="0"/>
    <n v="1"/>
    <n v="711"/>
    <n v="5"/>
    <x v="2"/>
    <x v="0"/>
    <n v="2"/>
    <n v="42"/>
    <n v="3"/>
    <n v="3"/>
    <x v="2"/>
    <n v="8008"/>
    <n v="22792"/>
    <n v="4"/>
    <n v="12"/>
    <n v="3"/>
    <n v="3"/>
    <n v="80"/>
    <n v="2"/>
    <n v="9"/>
    <n v="3"/>
    <n v="3"/>
    <n v="2"/>
    <n v="0"/>
    <n v="2"/>
  </r>
  <r>
    <s v="No"/>
    <s v="Travel_Rarely"/>
    <x v="2"/>
    <s v="Current Employees"/>
    <x v="1"/>
    <x v="1"/>
    <x v="1054"/>
    <x v="1054"/>
    <x v="0"/>
    <x v="1"/>
    <x v="1"/>
    <s v="No"/>
    <s v="Y"/>
    <n v="3"/>
    <n v="-2"/>
    <n v="0"/>
    <x v="5"/>
    <x v="1"/>
    <m/>
    <n v="0"/>
    <n v="1"/>
    <n v="634"/>
    <n v="5"/>
    <x v="2"/>
    <x v="0"/>
    <n v="2"/>
    <n v="35"/>
    <n v="4"/>
    <n v="1"/>
    <x v="0"/>
    <n v="3312"/>
    <n v="18783"/>
    <n v="3"/>
    <n v="17"/>
    <n v="3"/>
    <n v="4"/>
    <n v="80"/>
    <n v="2"/>
    <n v="6"/>
    <n v="3"/>
    <n v="3"/>
    <n v="2"/>
    <n v="0"/>
    <n v="2"/>
  </r>
  <r>
    <s v="No"/>
    <s v="Travel_Rarely"/>
    <x v="0"/>
    <s v="Current Employees"/>
    <x v="1"/>
    <x v="2"/>
    <x v="1055"/>
    <x v="1055"/>
    <x v="0"/>
    <x v="1"/>
    <x v="1"/>
    <s v="No"/>
    <s v="Y"/>
    <n v="2"/>
    <n v="-2"/>
    <n v="0"/>
    <x v="32"/>
    <x v="1"/>
    <m/>
    <n v="0"/>
    <n v="1"/>
    <n v="1194"/>
    <n v="2"/>
    <x v="2"/>
    <x v="0"/>
    <n v="3"/>
    <n v="98"/>
    <n v="3"/>
    <n v="1"/>
    <x v="2"/>
    <n v="2001"/>
    <n v="12549"/>
    <n v="2"/>
    <n v="14"/>
    <n v="3"/>
    <n v="2"/>
    <n v="80"/>
    <n v="3"/>
    <n v="20"/>
    <n v="3"/>
    <n v="5"/>
    <n v="3"/>
    <n v="0"/>
    <n v="2"/>
  </r>
  <r>
    <s v="No"/>
    <s v="Travel_Rarely"/>
    <x v="2"/>
    <s v="Current Employees"/>
    <x v="1"/>
    <x v="0"/>
    <x v="1056"/>
    <x v="1056"/>
    <x v="0"/>
    <x v="7"/>
    <x v="0"/>
    <s v="No"/>
    <s v="Y"/>
    <n v="3"/>
    <n v="-2"/>
    <n v="0"/>
    <x v="12"/>
    <x v="1"/>
    <m/>
    <n v="0"/>
    <n v="1"/>
    <n v="182"/>
    <n v="8"/>
    <x v="4"/>
    <x v="0"/>
    <n v="1"/>
    <n v="93"/>
    <n v="3"/>
    <n v="4"/>
    <x v="1"/>
    <n v="16422"/>
    <n v="8847"/>
    <n v="3"/>
    <n v="11"/>
    <n v="3"/>
    <n v="3"/>
    <n v="80"/>
    <n v="0"/>
    <n v="9"/>
    <n v="4"/>
    <n v="3"/>
    <n v="2"/>
    <n v="1"/>
    <n v="0"/>
  </r>
  <r>
    <s v="No"/>
    <s v="Travel_Rarely"/>
    <x v="0"/>
    <s v="Current Employees"/>
    <x v="1"/>
    <x v="2"/>
    <x v="1057"/>
    <x v="1057"/>
    <x v="0"/>
    <x v="2"/>
    <x v="0"/>
    <s v="No"/>
    <s v="Y"/>
    <n v="6"/>
    <n v="-2"/>
    <n v="0"/>
    <x v="2"/>
    <x v="1"/>
    <m/>
    <n v="0"/>
    <n v="1"/>
    <n v="1462"/>
    <n v="11"/>
    <x v="3"/>
    <x v="0"/>
    <n v="1"/>
    <n v="94"/>
    <n v="3"/>
    <n v="1"/>
    <x v="2"/>
    <n v="3629"/>
    <n v="19106"/>
    <n v="4"/>
    <n v="18"/>
    <n v="3"/>
    <n v="1"/>
    <n v="80"/>
    <n v="0"/>
    <n v="8"/>
    <n v="3"/>
    <n v="3"/>
    <n v="2"/>
    <n v="0"/>
    <n v="2"/>
  </r>
  <r>
    <s v="No"/>
    <s v="Travel_Rarely"/>
    <x v="2"/>
    <s v="Current Employees"/>
    <x v="1"/>
    <x v="2"/>
    <x v="1058"/>
    <x v="1058"/>
    <x v="0"/>
    <x v="3"/>
    <x v="0"/>
    <s v="No"/>
    <s v="Y"/>
    <n v="3"/>
    <n v="-2"/>
    <n v="0"/>
    <x v="7"/>
    <x v="1"/>
    <m/>
    <n v="0"/>
    <n v="1"/>
    <n v="1092"/>
    <n v="10"/>
    <x v="3"/>
    <x v="0"/>
    <n v="1"/>
    <n v="64"/>
    <n v="3"/>
    <n v="3"/>
    <x v="2"/>
    <n v="9667"/>
    <n v="2739"/>
    <n v="9"/>
    <n v="14"/>
    <n v="3"/>
    <n v="2"/>
    <n v="80"/>
    <n v="0"/>
    <n v="9"/>
    <n v="3"/>
    <n v="7"/>
    <n v="7"/>
    <n v="0"/>
    <n v="2"/>
  </r>
  <r>
    <s v="No"/>
    <s v="Travel_Rarely"/>
    <x v="0"/>
    <s v="Current Employees"/>
    <x v="1"/>
    <x v="0"/>
    <x v="1059"/>
    <x v="1059"/>
    <x v="0"/>
    <x v="3"/>
    <x v="0"/>
    <s v="No"/>
    <s v="Y"/>
    <n v="3"/>
    <n v="-2"/>
    <n v="0"/>
    <x v="22"/>
    <x v="1"/>
    <m/>
    <n v="0"/>
    <n v="1"/>
    <n v="1089"/>
    <n v="6"/>
    <x v="3"/>
    <x v="0"/>
    <n v="2"/>
    <n v="32"/>
    <n v="3"/>
    <n v="3"/>
    <x v="1"/>
    <n v="8376"/>
    <n v="9150"/>
    <n v="4"/>
    <n v="18"/>
    <n v="3"/>
    <n v="4"/>
    <n v="80"/>
    <n v="0"/>
    <n v="9"/>
    <n v="3"/>
    <n v="2"/>
    <n v="0"/>
    <n v="2"/>
    <n v="2"/>
  </r>
  <r>
    <s v="No"/>
    <s v="Travel_Rarely"/>
    <x v="1"/>
    <s v="Current Employees"/>
    <x v="1"/>
    <x v="0"/>
    <x v="1060"/>
    <x v="1060"/>
    <x v="0"/>
    <x v="2"/>
    <x v="0"/>
    <s v="No"/>
    <s v="Y"/>
    <n v="2"/>
    <n v="-2"/>
    <n v="0"/>
    <x v="40"/>
    <x v="1"/>
    <m/>
    <n v="0"/>
    <n v="1"/>
    <n v="207"/>
    <n v="9"/>
    <x v="2"/>
    <x v="0"/>
    <n v="2"/>
    <n v="64"/>
    <n v="3"/>
    <n v="1"/>
    <x v="2"/>
    <n v="2105"/>
    <n v="5411"/>
    <n v="4"/>
    <n v="12"/>
    <n v="3"/>
    <n v="3"/>
    <n v="80"/>
    <n v="0"/>
    <n v="7"/>
    <n v="3"/>
    <n v="2"/>
    <n v="2"/>
    <n v="2"/>
    <n v="0"/>
  </r>
  <r>
    <s v="No"/>
    <s v="Travel_Rarely"/>
    <x v="2"/>
    <s v="Current Employees"/>
    <x v="1"/>
    <x v="0"/>
    <x v="1061"/>
    <x v="1061"/>
    <x v="0"/>
    <x v="2"/>
    <x v="0"/>
    <s v="No"/>
    <s v="Y"/>
    <n v="3"/>
    <n v="-2"/>
    <n v="0"/>
    <x v="5"/>
    <x v="1"/>
    <m/>
    <n v="0"/>
    <n v="1"/>
    <n v="267"/>
    <n v="29"/>
    <x v="2"/>
    <x v="0"/>
    <n v="3"/>
    <n v="49"/>
    <n v="2"/>
    <n v="1"/>
    <x v="1"/>
    <n v="2837"/>
    <n v="15919"/>
    <n v="1"/>
    <n v="13"/>
    <n v="3"/>
    <n v="3"/>
    <n v="80"/>
    <n v="0"/>
    <n v="6"/>
    <n v="3"/>
    <n v="6"/>
    <n v="2"/>
    <n v="4"/>
    <n v="1"/>
  </r>
  <r>
    <s v="No"/>
    <s v="Travel_Rarely"/>
    <x v="4"/>
    <s v="Current Employees"/>
    <x v="1"/>
    <x v="2"/>
    <x v="1062"/>
    <x v="1062"/>
    <x v="0"/>
    <x v="2"/>
    <x v="0"/>
    <s v="No"/>
    <s v="Y"/>
    <n v="3"/>
    <n v="-2"/>
    <n v="0"/>
    <x v="30"/>
    <x v="1"/>
    <m/>
    <n v="0"/>
    <n v="1"/>
    <n v="160"/>
    <n v="4"/>
    <x v="1"/>
    <x v="0"/>
    <n v="3"/>
    <n v="51"/>
    <n v="3"/>
    <n v="1"/>
    <x v="1"/>
    <n v="3295"/>
    <n v="12862"/>
    <n v="1"/>
    <n v="13"/>
    <n v="3"/>
    <n v="3"/>
    <n v="80"/>
    <n v="0"/>
    <n v="3"/>
    <n v="1"/>
    <n v="3"/>
    <n v="2"/>
    <n v="1"/>
    <n v="2"/>
  </r>
  <r>
    <s v="No"/>
    <s v="Travel_Rarely"/>
    <x v="2"/>
    <s v="Current Employees"/>
    <x v="1"/>
    <x v="2"/>
    <x v="1063"/>
    <x v="1063"/>
    <x v="0"/>
    <x v="1"/>
    <x v="0"/>
    <s v="No"/>
    <s v="Y"/>
    <n v="5"/>
    <n v="-2"/>
    <n v="0"/>
    <x v="4"/>
    <x v="1"/>
    <m/>
    <n v="0"/>
    <n v="1"/>
    <n v="1054"/>
    <n v="8"/>
    <x v="3"/>
    <x v="0"/>
    <n v="3"/>
    <n v="67"/>
    <n v="3"/>
    <n v="1"/>
    <x v="0"/>
    <n v="3445"/>
    <n v="6152"/>
    <n v="1"/>
    <n v="11"/>
    <n v="3"/>
    <n v="3"/>
    <n v="80"/>
    <n v="0"/>
    <n v="6"/>
    <n v="2"/>
    <n v="6"/>
    <n v="2"/>
    <n v="1"/>
    <n v="4"/>
  </r>
  <r>
    <s v="No"/>
    <s v="Travel_Rarely"/>
    <x v="2"/>
    <s v="Current Employees"/>
    <x v="1"/>
    <x v="2"/>
    <x v="1064"/>
    <x v="1064"/>
    <x v="0"/>
    <x v="1"/>
    <x v="0"/>
    <s v="No"/>
    <s v="Y"/>
    <n v="3"/>
    <n v="-2"/>
    <n v="0"/>
    <x v="11"/>
    <x v="1"/>
    <m/>
    <n v="0"/>
    <n v="1"/>
    <n v="468"/>
    <n v="28"/>
    <x v="2"/>
    <x v="0"/>
    <n v="4"/>
    <n v="73"/>
    <n v="2"/>
    <n v="1"/>
    <x v="2"/>
    <n v="3785"/>
    <n v="8489"/>
    <n v="1"/>
    <n v="14"/>
    <n v="3"/>
    <n v="2"/>
    <n v="80"/>
    <n v="0"/>
    <n v="5"/>
    <n v="1"/>
    <n v="5"/>
    <n v="4"/>
    <n v="0"/>
    <n v="4"/>
  </r>
  <r>
    <s v="No"/>
    <s v="Travel_Rarely"/>
    <x v="0"/>
    <s v="Current Employees"/>
    <x v="1"/>
    <x v="0"/>
    <x v="1065"/>
    <x v="1065"/>
    <x v="0"/>
    <x v="4"/>
    <x v="0"/>
    <s v="No"/>
    <s v="Y"/>
    <n v="3"/>
    <n v="-2"/>
    <n v="0"/>
    <x v="10"/>
    <x v="1"/>
    <m/>
    <n v="0"/>
    <n v="1"/>
    <n v="1029"/>
    <n v="16"/>
    <x v="3"/>
    <x v="0"/>
    <n v="4"/>
    <n v="91"/>
    <n v="2"/>
    <n v="3"/>
    <x v="1"/>
    <n v="8606"/>
    <n v="21195"/>
    <n v="1"/>
    <n v="19"/>
    <n v="3"/>
    <n v="4"/>
    <n v="80"/>
    <n v="0"/>
    <n v="11"/>
    <n v="1"/>
    <n v="11"/>
    <n v="8"/>
    <n v="3"/>
    <n v="3"/>
  </r>
  <r>
    <s v="No"/>
    <s v="Travel_Rarely"/>
    <x v="1"/>
    <s v="Current Employees"/>
    <x v="1"/>
    <x v="4"/>
    <x v="1066"/>
    <x v="1066"/>
    <x v="0"/>
    <x v="7"/>
    <x v="0"/>
    <s v="No"/>
    <s v="Y"/>
    <n v="2"/>
    <n v="-2"/>
    <n v="0"/>
    <x v="28"/>
    <x v="1"/>
    <m/>
    <n v="0"/>
    <n v="1"/>
    <n v="1005"/>
    <n v="28"/>
    <x v="0"/>
    <x v="0"/>
    <n v="4"/>
    <n v="48"/>
    <n v="2"/>
    <n v="4"/>
    <x v="0"/>
    <n v="16704"/>
    <n v="17119"/>
    <n v="1"/>
    <n v="11"/>
    <n v="3"/>
    <n v="3"/>
    <n v="80"/>
    <n v="0"/>
    <n v="21"/>
    <n v="3"/>
    <n v="21"/>
    <n v="6"/>
    <n v="8"/>
    <n v="6"/>
  </r>
  <r>
    <s v="No"/>
    <s v="Travel_Rarely"/>
    <x v="1"/>
    <s v="Current Employees"/>
    <x v="1"/>
    <x v="2"/>
    <x v="1067"/>
    <x v="1067"/>
    <x v="0"/>
    <x v="7"/>
    <x v="0"/>
    <s v="No"/>
    <s v="Y"/>
    <n v="3"/>
    <n v="-2"/>
    <n v="0"/>
    <x v="33"/>
    <x v="1"/>
    <m/>
    <n v="0"/>
    <n v="1"/>
    <n v="971"/>
    <n v="1"/>
    <x v="3"/>
    <x v="0"/>
    <n v="4"/>
    <n v="54"/>
    <n v="3"/>
    <n v="4"/>
    <x v="0"/>
    <n v="17328"/>
    <n v="5652"/>
    <n v="6"/>
    <n v="19"/>
    <n v="3"/>
    <n v="4"/>
    <n v="80"/>
    <n v="0"/>
    <n v="29"/>
    <n v="2"/>
    <n v="20"/>
    <n v="7"/>
    <n v="12"/>
    <n v="7"/>
  </r>
  <r>
    <s v="No"/>
    <s v="Travel_Rarely"/>
    <x v="1"/>
    <s v="Current Employees"/>
    <x v="0"/>
    <x v="4"/>
    <x v="1068"/>
    <x v="1068"/>
    <x v="0"/>
    <x v="0"/>
    <x v="2"/>
    <s v="No"/>
    <s v="Y"/>
    <n v="5"/>
    <n v="-2"/>
    <n v="0"/>
    <x v="21"/>
    <x v="1"/>
    <m/>
    <n v="0"/>
    <n v="1"/>
    <n v="1319"/>
    <n v="3"/>
    <x v="3"/>
    <x v="0"/>
    <n v="4"/>
    <n v="45"/>
    <n v="4"/>
    <n v="4"/>
    <x v="0"/>
    <n v="13225"/>
    <n v="7739"/>
    <n v="2"/>
    <n v="12"/>
    <n v="3"/>
    <n v="4"/>
    <n v="80"/>
    <n v="1"/>
    <n v="25"/>
    <n v="3"/>
    <n v="19"/>
    <n v="17"/>
    <n v="2"/>
    <n v="8"/>
  </r>
  <r>
    <s v="No"/>
    <s v="Travel_Rarely"/>
    <x v="1"/>
    <s v="Current Employees"/>
    <x v="0"/>
    <x v="0"/>
    <x v="1069"/>
    <x v="1069"/>
    <x v="0"/>
    <x v="0"/>
    <x v="2"/>
    <s v="No"/>
    <s v="Y"/>
    <n v="2"/>
    <n v="-2"/>
    <n v="0"/>
    <x v="26"/>
    <x v="1"/>
    <m/>
    <n v="0"/>
    <n v="1"/>
    <n v="492"/>
    <n v="16"/>
    <x v="2"/>
    <x v="0"/>
    <n v="3"/>
    <n v="96"/>
    <n v="3"/>
    <n v="2"/>
    <x v="2"/>
    <n v="6439"/>
    <n v="13693"/>
    <n v="8"/>
    <n v="14"/>
    <n v="3"/>
    <n v="3"/>
    <n v="80"/>
    <n v="1"/>
    <n v="18"/>
    <n v="3"/>
    <n v="8"/>
    <n v="7"/>
    <n v="7"/>
    <n v="7"/>
  </r>
  <r>
    <s v="No"/>
    <s v="Travel_Rarely"/>
    <x v="2"/>
    <s v="Current Employees"/>
    <x v="0"/>
    <x v="3"/>
    <x v="1070"/>
    <x v="1070"/>
    <x v="0"/>
    <x v="0"/>
    <x v="2"/>
    <s v="No"/>
    <s v="Y"/>
    <n v="3"/>
    <n v="-2"/>
    <n v="0"/>
    <x v="7"/>
    <x v="1"/>
    <m/>
    <n v="0"/>
    <n v="1"/>
    <n v="855"/>
    <n v="7"/>
    <x v="2"/>
    <x v="0"/>
    <n v="4"/>
    <n v="73"/>
    <n v="3"/>
    <n v="2"/>
    <x v="1"/>
    <n v="4779"/>
    <n v="12761"/>
    <n v="7"/>
    <n v="14"/>
    <n v="3"/>
    <n v="2"/>
    <n v="80"/>
    <n v="2"/>
    <n v="8"/>
    <n v="3"/>
    <n v="3"/>
    <n v="2"/>
    <n v="0"/>
    <n v="2"/>
  </r>
  <r>
    <s v="No"/>
    <s v="Travel_Rarely"/>
    <x v="1"/>
    <s v="Current Employees"/>
    <x v="0"/>
    <x v="0"/>
    <x v="1071"/>
    <x v="1071"/>
    <x v="0"/>
    <x v="5"/>
    <x v="2"/>
    <s v="No"/>
    <s v="Y"/>
    <n v="2"/>
    <n v="-2"/>
    <n v="0"/>
    <x v="40"/>
    <x v="1"/>
    <m/>
    <n v="0"/>
    <n v="1"/>
    <n v="1225"/>
    <n v="2"/>
    <x v="2"/>
    <x v="0"/>
    <n v="2"/>
    <n v="47"/>
    <n v="4"/>
    <n v="4"/>
    <x v="1"/>
    <n v="15972"/>
    <n v="21086"/>
    <n v="6"/>
    <n v="14"/>
    <n v="3"/>
    <n v="3"/>
    <n v="80"/>
    <n v="3"/>
    <n v="29"/>
    <n v="3"/>
    <n v="3"/>
    <n v="2"/>
    <n v="1"/>
    <n v="2"/>
  </r>
  <r>
    <s v="No"/>
    <s v="Travel_Rarely"/>
    <x v="0"/>
    <s v="Current Employees"/>
    <x v="0"/>
    <x v="0"/>
    <x v="1072"/>
    <x v="1072"/>
    <x v="0"/>
    <x v="0"/>
    <x v="1"/>
    <s v="No"/>
    <s v="Y"/>
    <n v="1"/>
    <n v="-2"/>
    <n v="0"/>
    <x v="8"/>
    <x v="1"/>
    <m/>
    <n v="0"/>
    <n v="1"/>
    <n v="345"/>
    <n v="10"/>
    <x v="0"/>
    <x v="0"/>
    <n v="1"/>
    <n v="100"/>
    <n v="3"/>
    <n v="2"/>
    <x v="0"/>
    <n v="5343"/>
    <n v="5982"/>
    <n v="1"/>
    <n v="11"/>
    <n v="3"/>
    <n v="3"/>
    <n v="80"/>
    <n v="1"/>
    <n v="10"/>
    <n v="3"/>
    <n v="10"/>
    <n v="7"/>
    <n v="1"/>
    <n v="9"/>
  </r>
  <r>
    <s v="No"/>
    <s v="Travel_Rarely"/>
    <x v="0"/>
    <s v="Current Employees"/>
    <x v="0"/>
    <x v="3"/>
    <x v="1073"/>
    <x v="1073"/>
    <x v="0"/>
    <x v="0"/>
    <x v="1"/>
    <s v="No"/>
    <s v="Y"/>
    <n v="2"/>
    <n v="-2"/>
    <n v="0"/>
    <x v="9"/>
    <x v="1"/>
    <m/>
    <n v="0"/>
    <n v="1"/>
    <n v="1120"/>
    <n v="11"/>
    <x v="2"/>
    <x v="0"/>
    <n v="2"/>
    <n v="100"/>
    <n v="2"/>
    <n v="2"/>
    <x v="1"/>
    <n v="6652"/>
    <n v="14369"/>
    <n v="4"/>
    <n v="13"/>
    <n v="3"/>
    <n v="1"/>
    <n v="80"/>
    <n v="1"/>
    <n v="8"/>
    <n v="2"/>
    <n v="6"/>
    <n v="3"/>
    <n v="0"/>
    <n v="0"/>
  </r>
  <r>
    <s v="No"/>
    <s v="Travel_Rarely"/>
    <x v="0"/>
    <s v="Current Employees"/>
    <x v="0"/>
    <x v="3"/>
    <x v="1074"/>
    <x v="1074"/>
    <x v="0"/>
    <x v="0"/>
    <x v="1"/>
    <s v="No"/>
    <s v="Y"/>
    <n v="2"/>
    <n v="-2"/>
    <n v="0"/>
    <x v="22"/>
    <x v="1"/>
    <m/>
    <n v="0"/>
    <n v="1"/>
    <n v="722"/>
    <n v="24"/>
    <x v="1"/>
    <x v="0"/>
    <n v="2"/>
    <n v="60"/>
    <n v="2"/>
    <n v="4"/>
    <x v="1"/>
    <n v="12031"/>
    <n v="8828"/>
    <n v="0"/>
    <n v="11"/>
    <n v="3"/>
    <n v="1"/>
    <n v="80"/>
    <n v="1"/>
    <n v="21"/>
    <n v="2"/>
    <n v="20"/>
    <n v="9"/>
    <n v="9"/>
    <n v="6"/>
  </r>
  <r>
    <s v="No"/>
    <s v="Travel_Rarely"/>
    <x v="0"/>
    <s v="Current Employees"/>
    <x v="0"/>
    <x v="3"/>
    <x v="1075"/>
    <x v="1075"/>
    <x v="0"/>
    <x v="0"/>
    <x v="1"/>
    <s v="No"/>
    <s v="Y"/>
    <n v="4"/>
    <n v="-2"/>
    <n v="0"/>
    <x v="32"/>
    <x v="1"/>
    <m/>
    <n v="0"/>
    <n v="1"/>
    <n v="444"/>
    <n v="2"/>
    <x v="0"/>
    <x v="0"/>
    <n v="2"/>
    <n v="92"/>
    <n v="3"/>
    <n v="2"/>
    <x v="1"/>
    <n v="5677"/>
    <n v="4258"/>
    <n v="3"/>
    <n v="14"/>
    <n v="3"/>
    <n v="3"/>
    <n v="80"/>
    <n v="1"/>
    <n v="15"/>
    <n v="3"/>
    <n v="11"/>
    <n v="8"/>
    <n v="5"/>
    <n v="10"/>
  </r>
  <r>
    <s v="No"/>
    <s v="Travel_Rarely"/>
    <x v="2"/>
    <s v="Current Employees"/>
    <x v="0"/>
    <x v="2"/>
    <x v="1076"/>
    <x v="1076"/>
    <x v="0"/>
    <x v="6"/>
    <x v="1"/>
    <s v="No"/>
    <s v="Y"/>
    <n v="3"/>
    <n v="-2"/>
    <n v="0"/>
    <x v="14"/>
    <x v="1"/>
    <m/>
    <n v="0"/>
    <n v="1"/>
    <n v="1172"/>
    <n v="3"/>
    <x v="3"/>
    <x v="0"/>
    <n v="2"/>
    <n v="78"/>
    <n v="3"/>
    <n v="1"/>
    <x v="1"/>
    <n v="2856"/>
    <n v="3692"/>
    <n v="1"/>
    <n v="19"/>
    <n v="3"/>
    <n v="4"/>
    <n v="80"/>
    <n v="1"/>
    <n v="1"/>
    <n v="3"/>
    <n v="1"/>
    <n v="0"/>
    <n v="0"/>
    <n v="0"/>
  </r>
  <r>
    <s v="No"/>
    <s v="Travel_Rarely"/>
    <x v="1"/>
    <s v="Current Employees"/>
    <x v="0"/>
    <x v="0"/>
    <x v="1077"/>
    <x v="1077"/>
    <x v="0"/>
    <x v="5"/>
    <x v="1"/>
    <s v="No"/>
    <s v="Y"/>
    <n v="2"/>
    <n v="-2"/>
    <n v="0"/>
    <x v="21"/>
    <x v="1"/>
    <m/>
    <n v="0"/>
    <n v="1"/>
    <n v="228"/>
    <n v="3"/>
    <x v="3"/>
    <x v="0"/>
    <n v="3"/>
    <n v="51"/>
    <n v="3"/>
    <n v="4"/>
    <x v="1"/>
    <n v="16606"/>
    <n v="11380"/>
    <n v="8"/>
    <n v="12"/>
    <n v="3"/>
    <n v="4"/>
    <n v="80"/>
    <n v="1"/>
    <n v="23"/>
    <n v="4"/>
    <n v="13"/>
    <n v="12"/>
    <n v="5"/>
    <n v="1"/>
  </r>
  <r>
    <s v="No"/>
    <s v="Travel_Rarely"/>
    <x v="3"/>
    <s v="Current Employees"/>
    <x v="0"/>
    <x v="3"/>
    <x v="1078"/>
    <x v="1078"/>
    <x v="0"/>
    <x v="0"/>
    <x v="1"/>
    <s v="No"/>
    <s v="Y"/>
    <n v="3"/>
    <n v="-2"/>
    <n v="0"/>
    <x v="29"/>
    <x v="1"/>
    <m/>
    <n v="0"/>
    <n v="1"/>
    <n v="1443"/>
    <n v="11"/>
    <x v="4"/>
    <x v="0"/>
    <n v="4"/>
    <n v="89"/>
    <n v="2"/>
    <n v="2"/>
    <x v="1"/>
    <n v="5380"/>
    <n v="20328"/>
    <n v="4"/>
    <n v="16"/>
    <n v="3"/>
    <n v="3"/>
    <n v="80"/>
    <n v="1"/>
    <n v="6"/>
    <n v="3"/>
    <n v="0"/>
    <n v="0"/>
    <n v="0"/>
    <n v="0"/>
  </r>
  <r>
    <s v="No"/>
    <s v="Travel_Rarely"/>
    <x v="0"/>
    <s v="Current Employees"/>
    <x v="0"/>
    <x v="0"/>
    <x v="1079"/>
    <x v="1079"/>
    <x v="0"/>
    <x v="0"/>
    <x v="1"/>
    <s v="No"/>
    <s v="Y"/>
    <n v="2"/>
    <n v="-2"/>
    <n v="0"/>
    <x v="32"/>
    <x v="1"/>
    <m/>
    <n v="0"/>
    <n v="1"/>
    <n v="118"/>
    <n v="14"/>
    <x v="0"/>
    <x v="0"/>
    <n v="4"/>
    <n v="84"/>
    <n v="3"/>
    <n v="2"/>
    <x v="2"/>
    <n v="4639"/>
    <n v="11262"/>
    <n v="1"/>
    <n v="15"/>
    <n v="3"/>
    <n v="3"/>
    <n v="80"/>
    <n v="1"/>
    <n v="5"/>
    <n v="3"/>
    <n v="5"/>
    <n v="4"/>
    <n v="1"/>
    <n v="2"/>
  </r>
  <r>
    <s v="No"/>
    <s v="Travel_Rarely"/>
    <x v="2"/>
    <s v="Current Employees"/>
    <x v="0"/>
    <x v="3"/>
    <x v="1080"/>
    <x v="1080"/>
    <x v="0"/>
    <x v="0"/>
    <x v="1"/>
    <s v="No"/>
    <s v="Y"/>
    <n v="3"/>
    <n v="-2"/>
    <n v="0"/>
    <x v="12"/>
    <x v="1"/>
    <m/>
    <n v="0"/>
    <n v="1"/>
    <n v="196"/>
    <n v="29"/>
    <x v="2"/>
    <x v="0"/>
    <n v="1"/>
    <n v="91"/>
    <n v="2"/>
    <n v="2"/>
    <x v="1"/>
    <n v="5468"/>
    <n v="13402"/>
    <n v="1"/>
    <n v="14"/>
    <n v="3"/>
    <n v="1"/>
    <n v="80"/>
    <n v="2"/>
    <n v="13"/>
    <n v="3"/>
    <n v="12"/>
    <n v="7"/>
    <n v="5"/>
    <n v="7"/>
  </r>
  <r>
    <s v="No"/>
    <s v="Travel_Rarely"/>
    <x v="0"/>
    <s v="Current Employees"/>
    <x v="0"/>
    <x v="2"/>
    <x v="1081"/>
    <x v="1081"/>
    <x v="0"/>
    <x v="0"/>
    <x v="1"/>
    <s v="No"/>
    <s v="Y"/>
    <n v="2"/>
    <n v="-2"/>
    <n v="0"/>
    <x v="9"/>
    <x v="1"/>
    <m/>
    <n v="0"/>
    <n v="1"/>
    <n v="557"/>
    <n v="3"/>
    <x v="3"/>
    <x v="0"/>
    <n v="1"/>
    <n v="94"/>
    <n v="2"/>
    <n v="3"/>
    <x v="0"/>
    <n v="7644"/>
    <n v="12695"/>
    <n v="0"/>
    <n v="19"/>
    <n v="3"/>
    <n v="3"/>
    <n v="80"/>
    <n v="2"/>
    <n v="10"/>
    <n v="3"/>
    <n v="9"/>
    <n v="7"/>
    <n v="3"/>
    <n v="4"/>
  </r>
  <r>
    <s v="No"/>
    <s v="Travel_Rarely"/>
    <x v="2"/>
    <s v="Current Employees"/>
    <x v="0"/>
    <x v="0"/>
    <x v="1082"/>
    <x v="1082"/>
    <x v="0"/>
    <x v="0"/>
    <x v="1"/>
    <s v="No"/>
    <s v="Y"/>
    <n v="2"/>
    <n v="-2"/>
    <n v="0"/>
    <x v="12"/>
    <x v="1"/>
    <m/>
    <n v="0"/>
    <n v="1"/>
    <n v="1112"/>
    <n v="5"/>
    <x v="2"/>
    <x v="0"/>
    <n v="1"/>
    <n v="67"/>
    <n v="3"/>
    <n v="2"/>
    <x v="0"/>
    <n v="5476"/>
    <n v="22589"/>
    <n v="1"/>
    <n v="11"/>
    <n v="3"/>
    <n v="1"/>
    <n v="80"/>
    <n v="2"/>
    <n v="10"/>
    <n v="3"/>
    <n v="10"/>
    <n v="0"/>
    <n v="0"/>
    <n v="2"/>
  </r>
  <r>
    <s v="No"/>
    <s v="Travel_Rarely"/>
    <x v="0"/>
    <s v="Current Employees"/>
    <x v="0"/>
    <x v="3"/>
    <x v="1083"/>
    <x v="1083"/>
    <x v="0"/>
    <x v="0"/>
    <x v="1"/>
    <s v="No"/>
    <s v="Y"/>
    <n v="3"/>
    <n v="-2"/>
    <n v="0"/>
    <x v="9"/>
    <x v="1"/>
    <m/>
    <n v="0"/>
    <n v="1"/>
    <n v="329"/>
    <n v="16"/>
    <x v="2"/>
    <x v="0"/>
    <n v="3"/>
    <n v="98"/>
    <n v="2"/>
    <n v="2"/>
    <x v="1"/>
    <n v="5647"/>
    <n v="13494"/>
    <n v="4"/>
    <n v="13"/>
    <n v="3"/>
    <n v="1"/>
    <n v="80"/>
    <n v="2"/>
    <n v="11"/>
    <n v="2"/>
    <n v="3"/>
    <n v="2"/>
    <n v="0"/>
    <n v="2"/>
  </r>
  <r>
    <s v="No"/>
    <s v="Travel_Rarely"/>
    <x v="2"/>
    <s v="Current Employees"/>
    <x v="0"/>
    <x v="3"/>
    <x v="1084"/>
    <x v="1084"/>
    <x v="0"/>
    <x v="0"/>
    <x v="1"/>
    <s v="No"/>
    <s v="Y"/>
    <n v="3"/>
    <n v="-2"/>
    <n v="0"/>
    <x v="5"/>
    <x v="1"/>
    <m/>
    <n v="0"/>
    <n v="1"/>
    <n v="801"/>
    <n v="1"/>
    <x v="2"/>
    <x v="0"/>
    <n v="3"/>
    <n v="48"/>
    <n v="3"/>
    <n v="3"/>
    <x v="1"/>
    <n v="10422"/>
    <n v="24032"/>
    <n v="1"/>
    <n v="19"/>
    <n v="3"/>
    <n v="3"/>
    <n v="80"/>
    <n v="2"/>
    <n v="14"/>
    <n v="3"/>
    <n v="14"/>
    <n v="10"/>
    <n v="5"/>
    <n v="7"/>
  </r>
  <r>
    <s v="No"/>
    <s v="Travel_Rarely"/>
    <x v="2"/>
    <s v="Current Employees"/>
    <x v="0"/>
    <x v="2"/>
    <x v="1085"/>
    <x v="1085"/>
    <x v="0"/>
    <x v="0"/>
    <x v="0"/>
    <s v="No"/>
    <s v="Y"/>
    <n v="5"/>
    <n v="-2"/>
    <n v="0"/>
    <x v="4"/>
    <x v="1"/>
    <m/>
    <n v="0"/>
    <n v="1"/>
    <n v="511"/>
    <n v="2"/>
    <x v="0"/>
    <x v="0"/>
    <n v="1"/>
    <n v="89"/>
    <n v="4"/>
    <n v="2"/>
    <x v="2"/>
    <n v="6500"/>
    <n v="26997"/>
    <n v="0"/>
    <n v="14"/>
    <n v="3"/>
    <n v="2"/>
    <n v="80"/>
    <n v="0"/>
    <n v="9"/>
    <n v="2"/>
    <n v="8"/>
    <n v="7"/>
    <n v="0"/>
    <n v="7"/>
  </r>
  <r>
    <s v="No"/>
    <s v="Travel_Rarely"/>
    <x v="0"/>
    <s v="Current Employees"/>
    <x v="0"/>
    <x v="0"/>
    <x v="1086"/>
    <x v="1086"/>
    <x v="0"/>
    <x v="0"/>
    <x v="0"/>
    <s v="No"/>
    <s v="Y"/>
    <n v="5"/>
    <n v="-2"/>
    <n v="0"/>
    <x v="8"/>
    <x v="1"/>
    <m/>
    <n v="0"/>
    <n v="1"/>
    <n v="437"/>
    <n v="16"/>
    <x v="3"/>
    <x v="0"/>
    <n v="2"/>
    <n v="90"/>
    <n v="3"/>
    <n v="2"/>
    <x v="1"/>
    <n v="4198"/>
    <n v="16379"/>
    <n v="2"/>
    <n v="12"/>
    <n v="3"/>
    <n v="2"/>
    <n v="80"/>
    <n v="0"/>
    <n v="8"/>
    <n v="4"/>
    <n v="3"/>
    <n v="2"/>
    <n v="1"/>
    <n v="2"/>
  </r>
  <r>
    <s v="No"/>
    <s v="Travel_Rarely"/>
    <x v="0"/>
    <s v="Current Employees"/>
    <x v="0"/>
    <x v="0"/>
    <x v="1087"/>
    <x v="1087"/>
    <x v="0"/>
    <x v="0"/>
    <x v="0"/>
    <s v="No"/>
    <s v="Y"/>
    <n v="5"/>
    <n v="-2"/>
    <n v="0"/>
    <x v="9"/>
    <x v="1"/>
    <m/>
    <n v="0"/>
    <n v="1"/>
    <n v="884"/>
    <n v="1"/>
    <x v="2"/>
    <x v="0"/>
    <n v="2"/>
    <n v="73"/>
    <n v="3"/>
    <n v="2"/>
    <x v="2"/>
    <n v="6815"/>
    <n v="21447"/>
    <n v="6"/>
    <n v="13"/>
    <n v="3"/>
    <n v="1"/>
    <n v="80"/>
    <n v="0"/>
    <n v="15"/>
    <n v="3"/>
    <n v="1"/>
    <n v="0"/>
    <n v="0"/>
    <n v="0"/>
  </r>
  <r>
    <s v="No"/>
    <s v="Travel_Rarely"/>
    <x v="4"/>
    <s v="Current Employees"/>
    <x v="0"/>
    <x v="2"/>
    <x v="1088"/>
    <x v="1088"/>
    <x v="0"/>
    <x v="6"/>
    <x v="0"/>
    <s v="No"/>
    <s v="Y"/>
    <n v="3"/>
    <n v="-2"/>
    <n v="0"/>
    <x v="35"/>
    <x v="1"/>
    <m/>
    <n v="0"/>
    <n v="1"/>
    <n v="1141"/>
    <n v="2"/>
    <x v="3"/>
    <x v="0"/>
    <n v="3"/>
    <n v="31"/>
    <n v="3"/>
    <n v="1"/>
    <x v="2"/>
    <n v="2783"/>
    <n v="13251"/>
    <n v="1"/>
    <n v="19"/>
    <n v="3"/>
    <n v="1"/>
    <n v="80"/>
    <n v="0"/>
    <n v="2"/>
    <n v="3"/>
    <n v="2"/>
    <n v="2"/>
    <n v="2"/>
    <n v="2"/>
  </r>
  <r>
    <s v="No"/>
    <s v="Travel_Rarely"/>
    <x v="0"/>
    <s v="Current Employees"/>
    <x v="0"/>
    <x v="0"/>
    <x v="1089"/>
    <x v="1089"/>
    <x v="0"/>
    <x v="6"/>
    <x v="0"/>
    <s v="No"/>
    <s v="Y"/>
    <n v="2"/>
    <n v="-2"/>
    <n v="0"/>
    <x v="9"/>
    <x v="1"/>
    <m/>
    <n v="0"/>
    <n v="1"/>
    <n v="530"/>
    <n v="2"/>
    <x v="2"/>
    <x v="0"/>
    <n v="3"/>
    <n v="51"/>
    <n v="3"/>
    <n v="2"/>
    <x v="0"/>
    <n v="4502"/>
    <n v="7439"/>
    <n v="3"/>
    <n v="15"/>
    <n v="3"/>
    <n v="3"/>
    <n v="80"/>
    <n v="0"/>
    <n v="17"/>
    <n v="2"/>
    <n v="13"/>
    <n v="7"/>
    <n v="6"/>
    <n v="7"/>
  </r>
  <r>
    <s v="No"/>
    <s v="Travel_Rarely"/>
    <x v="2"/>
    <s v="Current Employees"/>
    <x v="0"/>
    <x v="0"/>
    <x v="1090"/>
    <x v="1090"/>
    <x v="0"/>
    <x v="0"/>
    <x v="0"/>
    <s v="No"/>
    <s v="Y"/>
    <n v="3"/>
    <n v="-2"/>
    <n v="0"/>
    <x v="13"/>
    <x v="1"/>
    <m/>
    <n v="0"/>
    <n v="1"/>
    <n v="511"/>
    <n v="3"/>
    <x v="0"/>
    <x v="0"/>
    <n v="4"/>
    <n v="32"/>
    <n v="1"/>
    <n v="2"/>
    <x v="0"/>
    <n v="6029"/>
    <n v="25353"/>
    <n v="5"/>
    <n v="12"/>
    <n v="3"/>
    <n v="1"/>
    <n v="80"/>
    <n v="0"/>
    <n v="6"/>
    <n v="3"/>
    <n v="2"/>
    <n v="2"/>
    <n v="2"/>
    <n v="2"/>
  </r>
  <r>
    <s v="No"/>
    <s v="Travel_Rarely"/>
    <x v="2"/>
    <s v="Current Employees"/>
    <x v="0"/>
    <x v="1"/>
    <x v="1091"/>
    <x v="1091"/>
    <x v="0"/>
    <x v="6"/>
    <x v="0"/>
    <s v="No"/>
    <s v="Y"/>
    <n v="2"/>
    <n v="-2"/>
    <n v="0"/>
    <x v="25"/>
    <x v="1"/>
    <m/>
    <n v="0"/>
    <n v="1"/>
    <n v="1167"/>
    <n v="5"/>
    <x v="3"/>
    <x v="0"/>
    <n v="4"/>
    <n v="30"/>
    <n v="2"/>
    <n v="1"/>
    <x v="2"/>
    <n v="2966"/>
    <n v="21378"/>
    <n v="0"/>
    <n v="18"/>
    <n v="3"/>
    <n v="4"/>
    <n v="80"/>
    <n v="0"/>
    <n v="5"/>
    <n v="3"/>
    <n v="4"/>
    <n v="2"/>
    <n v="0"/>
    <n v="0"/>
  </r>
  <r>
    <s v="No"/>
    <s v="Travel_Rarely"/>
    <x v="1"/>
    <s v="Current Employees"/>
    <x v="0"/>
    <x v="0"/>
    <x v="1092"/>
    <x v="1092"/>
    <x v="0"/>
    <x v="0"/>
    <x v="0"/>
    <s v="No"/>
    <s v="Y"/>
    <n v="3"/>
    <n v="-2"/>
    <n v="0"/>
    <x v="28"/>
    <x v="1"/>
    <m/>
    <n v="0"/>
    <n v="1"/>
    <n v="374"/>
    <n v="20"/>
    <x v="3"/>
    <x v="0"/>
    <n v="4"/>
    <n v="50"/>
    <n v="3"/>
    <n v="2"/>
    <x v="2"/>
    <n v="4850"/>
    <n v="23333"/>
    <n v="8"/>
    <n v="15"/>
    <n v="3"/>
    <n v="3"/>
    <n v="80"/>
    <n v="0"/>
    <n v="8"/>
    <n v="3"/>
    <n v="5"/>
    <n v="3"/>
    <n v="0"/>
    <n v="1"/>
  </r>
  <r>
    <s v="No"/>
    <s v="Travel_Rarely"/>
    <x v="1"/>
    <s v="Current Employees"/>
    <x v="0"/>
    <x v="3"/>
    <x v="1093"/>
    <x v="1093"/>
    <x v="0"/>
    <x v="0"/>
    <x v="0"/>
    <s v="No"/>
    <s v="Y"/>
    <n v="1"/>
    <n v="-2"/>
    <n v="0"/>
    <x v="1"/>
    <x v="1"/>
    <m/>
    <n v="0"/>
    <n v="1"/>
    <n v="1313"/>
    <n v="11"/>
    <x v="2"/>
    <x v="0"/>
    <n v="4"/>
    <n v="80"/>
    <n v="3"/>
    <n v="2"/>
    <x v="1"/>
    <n v="4507"/>
    <n v="8191"/>
    <n v="3"/>
    <n v="12"/>
    <n v="3"/>
    <n v="3"/>
    <n v="80"/>
    <n v="0"/>
    <n v="8"/>
    <n v="4"/>
    <n v="5"/>
    <n v="1"/>
    <n v="0"/>
    <n v="4"/>
  </r>
  <r>
    <s v="No"/>
    <s v="Non-Travel"/>
    <x v="2"/>
    <s v="Current Employees"/>
    <x v="2"/>
    <x v="0"/>
    <x v="1094"/>
    <x v="1094"/>
    <x v="1"/>
    <x v="8"/>
    <x v="2"/>
    <s v="No"/>
    <s v="Y"/>
    <n v="2"/>
    <n v="-2"/>
    <n v="0"/>
    <x v="14"/>
    <x v="1"/>
    <m/>
    <n v="0"/>
    <n v="1"/>
    <n v="280"/>
    <n v="1"/>
    <x v="0"/>
    <x v="0"/>
    <n v="3"/>
    <n v="43"/>
    <n v="3"/>
    <n v="1"/>
    <x v="0"/>
    <n v="2706"/>
    <n v="10494"/>
    <n v="1"/>
    <n v="15"/>
    <n v="3"/>
    <n v="2"/>
    <n v="80"/>
    <n v="1"/>
    <n v="3"/>
    <n v="3"/>
    <n v="3"/>
    <n v="2"/>
    <n v="2"/>
    <n v="2"/>
  </r>
  <r>
    <s v="No"/>
    <s v="Non-Travel"/>
    <x v="0"/>
    <s v="Current Employees"/>
    <x v="2"/>
    <x v="5"/>
    <x v="1095"/>
    <x v="1095"/>
    <x v="1"/>
    <x v="8"/>
    <x v="2"/>
    <s v="No"/>
    <s v="Y"/>
    <n v="3"/>
    <n v="-2"/>
    <n v="0"/>
    <x v="8"/>
    <x v="1"/>
    <m/>
    <n v="0"/>
    <n v="1"/>
    <n v="1336"/>
    <n v="2"/>
    <x v="3"/>
    <x v="0"/>
    <n v="1"/>
    <n v="100"/>
    <n v="3"/>
    <n v="1"/>
    <x v="1"/>
    <n v="2592"/>
    <n v="7129"/>
    <n v="5"/>
    <n v="13"/>
    <n v="3"/>
    <n v="4"/>
    <n v="80"/>
    <n v="3"/>
    <n v="13"/>
    <n v="3"/>
    <n v="11"/>
    <n v="10"/>
    <n v="3"/>
    <n v="8"/>
  </r>
  <r>
    <s v="No"/>
    <s v="Non-Travel"/>
    <x v="0"/>
    <s v="Current Employees"/>
    <x v="2"/>
    <x v="5"/>
    <x v="1096"/>
    <x v="1096"/>
    <x v="1"/>
    <x v="8"/>
    <x v="1"/>
    <s v="No"/>
    <s v="Y"/>
    <n v="4"/>
    <n v="-2"/>
    <n v="0"/>
    <x v="0"/>
    <x v="1"/>
    <m/>
    <n v="0"/>
    <n v="1"/>
    <n v="552"/>
    <n v="4"/>
    <x v="3"/>
    <x v="0"/>
    <n v="3"/>
    <n v="60"/>
    <n v="1"/>
    <n v="2"/>
    <x v="1"/>
    <n v="6430"/>
    <n v="20794"/>
    <n v="6"/>
    <n v="19"/>
    <n v="3"/>
    <n v="2"/>
    <n v="80"/>
    <n v="1"/>
    <n v="10"/>
    <n v="3"/>
    <n v="3"/>
    <n v="2"/>
    <n v="1"/>
    <n v="2"/>
  </r>
  <r>
    <s v="No"/>
    <s v="Non-Travel"/>
    <x v="0"/>
    <s v="Current Employees"/>
    <x v="1"/>
    <x v="2"/>
    <x v="1097"/>
    <x v="1097"/>
    <x v="1"/>
    <x v="3"/>
    <x v="2"/>
    <s v="No"/>
    <s v="Y"/>
    <n v="6"/>
    <n v="-2"/>
    <n v="0"/>
    <x v="10"/>
    <x v="1"/>
    <m/>
    <n v="0"/>
    <n v="1"/>
    <n v="1180"/>
    <n v="2"/>
    <x v="0"/>
    <x v="0"/>
    <n v="2"/>
    <n v="90"/>
    <n v="3"/>
    <n v="2"/>
    <x v="0"/>
    <n v="5762"/>
    <n v="24442"/>
    <n v="2"/>
    <n v="14"/>
    <n v="3"/>
    <n v="3"/>
    <n v="80"/>
    <n v="1"/>
    <n v="15"/>
    <n v="3"/>
    <n v="7"/>
    <n v="7"/>
    <n v="1"/>
    <n v="7"/>
  </r>
  <r>
    <s v="No"/>
    <s v="Non-Travel"/>
    <x v="0"/>
    <s v="Current Employees"/>
    <x v="1"/>
    <x v="2"/>
    <x v="1098"/>
    <x v="1098"/>
    <x v="1"/>
    <x v="7"/>
    <x v="2"/>
    <s v="No"/>
    <s v="Y"/>
    <n v="5"/>
    <n v="-2"/>
    <n v="0"/>
    <x v="32"/>
    <x v="1"/>
    <m/>
    <n v="0"/>
    <n v="1"/>
    <n v="218"/>
    <n v="8"/>
    <x v="1"/>
    <x v="0"/>
    <n v="4"/>
    <n v="55"/>
    <n v="2"/>
    <n v="3"/>
    <x v="1"/>
    <n v="13757"/>
    <n v="25178"/>
    <n v="2"/>
    <n v="11"/>
    <n v="3"/>
    <n v="3"/>
    <n v="80"/>
    <n v="1"/>
    <n v="16"/>
    <n v="3"/>
    <n v="9"/>
    <n v="8"/>
    <n v="4"/>
    <n v="8"/>
  </r>
  <r>
    <s v="No"/>
    <s v="Non-Travel"/>
    <x v="2"/>
    <s v="Current Employees"/>
    <x v="1"/>
    <x v="4"/>
    <x v="1099"/>
    <x v="1099"/>
    <x v="1"/>
    <x v="1"/>
    <x v="2"/>
    <s v="No"/>
    <s v="Y"/>
    <n v="2"/>
    <n v="-2"/>
    <n v="0"/>
    <x v="7"/>
    <x v="1"/>
    <m/>
    <n v="0"/>
    <n v="1"/>
    <n v="990"/>
    <n v="7"/>
    <x v="3"/>
    <x v="0"/>
    <n v="4"/>
    <n v="64"/>
    <n v="3"/>
    <n v="1"/>
    <x v="0"/>
    <n v="1274"/>
    <n v="7152"/>
    <n v="1"/>
    <n v="13"/>
    <n v="3"/>
    <n v="2"/>
    <n v="80"/>
    <n v="2"/>
    <n v="1"/>
    <n v="2"/>
    <n v="1"/>
    <n v="0"/>
    <n v="0"/>
    <n v="0"/>
  </r>
  <r>
    <s v="No"/>
    <s v="Non-Travel"/>
    <x v="0"/>
    <s v="Current Employees"/>
    <x v="1"/>
    <x v="1"/>
    <x v="1100"/>
    <x v="1100"/>
    <x v="1"/>
    <x v="2"/>
    <x v="2"/>
    <s v="No"/>
    <s v="Y"/>
    <n v="2"/>
    <n v="-2"/>
    <n v="0"/>
    <x v="32"/>
    <x v="1"/>
    <m/>
    <n v="0"/>
    <n v="1"/>
    <n v="663"/>
    <n v="9"/>
    <x v="2"/>
    <x v="0"/>
    <n v="3"/>
    <n v="81"/>
    <n v="3"/>
    <n v="2"/>
    <x v="2"/>
    <n v="3975"/>
    <n v="23099"/>
    <n v="3"/>
    <n v="11"/>
    <n v="3"/>
    <n v="3"/>
    <n v="80"/>
    <n v="2"/>
    <n v="11"/>
    <n v="4"/>
    <n v="8"/>
    <n v="7"/>
    <n v="0"/>
    <n v="7"/>
  </r>
  <r>
    <s v="No"/>
    <s v="Non-Travel"/>
    <x v="2"/>
    <s v="Current Employees"/>
    <x v="1"/>
    <x v="4"/>
    <x v="1101"/>
    <x v="1101"/>
    <x v="1"/>
    <x v="1"/>
    <x v="2"/>
    <s v="No"/>
    <s v="Y"/>
    <n v="2"/>
    <n v="-2"/>
    <n v="0"/>
    <x v="3"/>
    <x v="1"/>
    <m/>
    <n v="0"/>
    <n v="1"/>
    <n v="775"/>
    <n v="4"/>
    <x v="3"/>
    <x v="0"/>
    <n v="4"/>
    <n v="90"/>
    <n v="3"/>
    <n v="2"/>
    <x v="0"/>
    <n v="3055"/>
    <n v="6194"/>
    <n v="5"/>
    <n v="15"/>
    <n v="3"/>
    <n v="4"/>
    <n v="80"/>
    <n v="2"/>
    <n v="11"/>
    <n v="2"/>
    <n v="9"/>
    <n v="8"/>
    <n v="1"/>
    <n v="7"/>
  </r>
  <r>
    <s v="No"/>
    <s v="Non-Travel"/>
    <x v="2"/>
    <s v="Current Employees"/>
    <x v="1"/>
    <x v="2"/>
    <x v="1102"/>
    <x v="1102"/>
    <x v="1"/>
    <x v="2"/>
    <x v="2"/>
    <s v="No"/>
    <s v="Y"/>
    <n v="2"/>
    <n v="-2"/>
    <n v="0"/>
    <x v="3"/>
    <x v="1"/>
    <m/>
    <n v="0"/>
    <n v="1"/>
    <n v="1313"/>
    <n v="1"/>
    <x v="0"/>
    <x v="0"/>
    <n v="2"/>
    <n v="59"/>
    <n v="2"/>
    <n v="1"/>
    <x v="2"/>
    <n v="2008"/>
    <n v="20439"/>
    <n v="1"/>
    <n v="12"/>
    <n v="3"/>
    <n v="3"/>
    <n v="80"/>
    <n v="3"/>
    <n v="1"/>
    <n v="2"/>
    <n v="1"/>
    <n v="1"/>
    <n v="0"/>
    <n v="0"/>
  </r>
  <r>
    <s v="No"/>
    <s v="Non-Travel"/>
    <x v="1"/>
    <s v="Current Employees"/>
    <x v="1"/>
    <x v="4"/>
    <x v="1103"/>
    <x v="1103"/>
    <x v="1"/>
    <x v="1"/>
    <x v="1"/>
    <s v="No"/>
    <s v="Y"/>
    <n v="4"/>
    <n v="-2"/>
    <n v="0"/>
    <x v="40"/>
    <x v="1"/>
    <m/>
    <n v="0"/>
    <n v="1"/>
    <n v="1169"/>
    <n v="14"/>
    <x v="2"/>
    <x v="0"/>
    <n v="4"/>
    <n v="64"/>
    <n v="3"/>
    <n v="2"/>
    <x v="0"/>
    <n v="5467"/>
    <n v="2125"/>
    <n v="8"/>
    <n v="18"/>
    <n v="3"/>
    <n v="3"/>
    <n v="80"/>
    <n v="1"/>
    <n v="16"/>
    <n v="4"/>
    <n v="8"/>
    <n v="7"/>
    <n v="1"/>
    <n v="7"/>
  </r>
  <r>
    <s v="No"/>
    <s v="Non-Travel"/>
    <x v="2"/>
    <s v="Current Employees"/>
    <x v="1"/>
    <x v="4"/>
    <x v="1104"/>
    <x v="1104"/>
    <x v="1"/>
    <x v="1"/>
    <x v="1"/>
    <s v="No"/>
    <s v="Y"/>
    <n v="3"/>
    <n v="-2"/>
    <n v="0"/>
    <x v="5"/>
    <x v="1"/>
    <m/>
    <n v="0"/>
    <n v="1"/>
    <n v="1200"/>
    <n v="1"/>
    <x v="2"/>
    <x v="0"/>
    <n v="4"/>
    <n v="62"/>
    <n v="3"/>
    <n v="2"/>
    <x v="0"/>
    <n v="4087"/>
    <n v="25174"/>
    <n v="4"/>
    <n v="14"/>
    <n v="3"/>
    <n v="2"/>
    <n v="80"/>
    <n v="1"/>
    <n v="9"/>
    <n v="2"/>
    <n v="6"/>
    <n v="5"/>
    <n v="1"/>
    <n v="2"/>
  </r>
  <r>
    <s v="No"/>
    <s v="Non-Travel"/>
    <x v="0"/>
    <s v="Current Employees"/>
    <x v="1"/>
    <x v="0"/>
    <x v="1105"/>
    <x v="1105"/>
    <x v="1"/>
    <x v="1"/>
    <x v="0"/>
    <s v="No"/>
    <s v="Y"/>
    <n v="2"/>
    <n v="-2"/>
    <n v="0"/>
    <x v="23"/>
    <x v="1"/>
    <m/>
    <n v="0"/>
    <n v="1"/>
    <n v="343"/>
    <n v="9"/>
    <x v="3"/>
    <x v="0"/>
    <n v="1"/>
    <n v="52"/>
    <n v="3"/>
    <n v="1"/>
    <x v="2"/>
    <n v="2438"/>
    <n v="24978"/>
    <n v="4"/>
    <n v="13"/>
    <n v="3"/>
    <n v="3"/>
    <n v="80"/>
    <n v="0"/>
    <n v="7"/>
    <n v="2"/>
    <n v="3"/>
    <n v="2"/>
    <n v="1"/>
    <n v="2"/>
  </r>
  <r>
    <s v="No"/>
    <s v="Non-Travel"/>
    <x v="2"/>
    <s v="Current Employees"/>
    <x v="1"/>
    <x v="2"/>
    <x v="1106"/>
    <x v="1106"/>
    <x v="1"/>
    <x v="3"/>
    <x v="0"/>
    <s v="No"/>
    <s v="Y"/>
    <n v="2"/>
    <n v="-2"/>
    <n v="0"/>
    <x v="12"/>
    <x v="1"/>
    <m/>
    <n v="0"/>
    <n v="1"/>
    <n v="325"/>
    <n v="5"/>
    <x v="3"/>
    <x v="0"/>
    <n v="2"/>
    <n v="74"/>
    <n v="3"/>
    <n v="2"/>
    <x v="2"/>
    <n v="9936"/>
    <n v="3787"/>
    <n v="0"/>
    <n v="19"/>
    <n v="3"/>
    <n v="2"/>
    <n v="80"/>
    <n v="0"/>
    <n v="10"/>
    <n v="3"/>
    <n v="9"/>
    <n v="4"/>
    <n v="1"/>
    <n v="7"/>
  </r>
  <r>
    <s v="No"/>
    <s v="Non-Travel"/>
    <x v="2"/>
    <s v="Current Employees"/>
    <x v="1"/>
    <x v="4"/>
    <x v="1107"/>
    <x v="1107"/>
    <x v="1"/>
    <x v="1"/>
    <x v="0"/>
    <s v="No"/>
    <s v="Y"/>
    <n v="3"/>
    <n v="-2"/>
    <n v="0"/>
    <x v="5"/>
    <x v="1"/>
    <m/>
    <n v="0"/>
    <n v="1"/>
    <n v="953"/>
    <n v="5"/>
    <x v="2"/>
    <x v="0"/>
    <n v="4"/>
    <n v="65"/>
    <n v="3"/>
    <n v="1"/>
    <x v="0"/>
    <n v="2718"/>
    <n v="17674"/>
    <n v="2"/>
    <n v="14"/>
    <n v="3"/>
    <n v="2"/>
    <n v="80"/>
    <n v="0"/>
    <n v="12"/>
    <n v="3"/>
    <n v="7"/>
    <n v="7"/>
    <n v="0"/>
    <n v="7"/>
  </r>
  <r>
    <s v="No"/>
    <s v="Non-Travel"/>
    <x v="0"/>
    <s v="Current Employees"/>
    <x v="1"/>
    <x v="0"/>
    <x v="1108"/>
    <x v="1108"/>
    <x v="1"/>
    <x v="2"/>
    <x v="0"/>
    <s v="No"/>
    <s v="Y"/>
    <n v="5"/>
    <n v="-2"/>
    <n v="0"/>
    <x v="20"/>
    <x v="1"/>
    <m/>
    <n v="0"/>
    <n v="1"/>
    <n v="981"/>
    <n v="5"/>
    <x v="3"/>
    <x v="0"/>
    <n v="3"/>
    <n v="90"/>
    <n v="2"/>
    <n v="1"/>
    <x v="2"/>
    <n v="3162"/>
    <n v="7973"/>
    <n v="3"/>
    <n v="14"/>
    <n v="3"/>
    <n v="4"/>
    <n v="80"/>
    <n v="0"/>
    <n v="7"/>
    <n v="3"/>
    <n v="5"/>
    <n v="2"/>
    <n v="0"/>
    <n v="3"/>
  </r>
  <r>
    <s v="No"/>
    <s v="Non-Travel"/>
    <x v="2"/>
    <s v="Current Employees"/>
    <x v="1"/>
    <x v="2"/>
    <x v="1109"/>
    <x v="1109"/>
    <x v="1"/>
    <x v="1"/>
    <x v="0"/>
    <s v="No"/>
    <s v="Y"/>
    <n v="3"/>
    <n v="-2"/>
    <n v="0"/>
    <x v="14"/>
    <x v="1"/>
    <m/>
    <n v="0"/>
    <n v="1"/>
    <n v="1103"/>
    <n v="16"/>
    <x v="3"/>
    <x v="0"/>
    <n v="3"/>
    <n v="49"/>
    <n v="3"/>
    <n v="1"/>
    <x v="2"/>
    <n v="2144"/>
    <n v="2122"/>
    <n v="1"/>
    <n v="14"/>
    <n v="3"/>
    <n v="3"/>
    <n v="80"/>
    <n v="0"/>
    <n v="5"/>
    <n v="2"/>
    <n v="5"/>
    <n v="3"/>
    <n v="1"/>
    <n v="4"/>
  </r>
  <r>
    <s v="No"/>
    <s v="Non-Travel"/>
    <x v="0"/>
    <s v="Current Employees"/>
    <x v="1"/>
    <x v="4"/>
    <x v="1110"/>
    <x v="1110"/>
    <x v="1"/>
    <x v="2"/>
    <x v="0"/>
    <s v="No"/>
    <s v="Y"/>
    <n v="2"/>
    <n v="-2"/>
    <n v="0"/>
    <x v="2"/>
    <x v="1"/>
    <m/>
    <n v="0"/>
    <n v="1"/>
    <n v="1413"/>
    <n v="5"/>
    <x v="0"/>
    <x v="0"/>
    <n v="4"/>
    <n v="84"/>
    <n v="4"/>
    <n v="1"/>
    <x v="0"/>
    <n v="3500"/>
    <n v="25470"/>
    <n v="0"/>
    <n v="14"/>
    <n v="3"/>
    <n v="1"/>
    <n v="80"/>
    <n v="0"/>
    <n v="7"/>
    <n v="1"/>
    <n v="6"/>
    <n v="5"/>
    <n v="1"/>
    <n v="3"/>
  </r>
  <r>
    <s v="No"/>
    <s v="Non-Travel"/>
    <x v="0"/>
    <s v="Current Employees"/>
    <x v="1"/>
    <x v="0"/>
    <x v="1111"/>
    <x v="1111"/>
    <x v="1"/>
    <x v="1"/>
    <x v="0"/>
    <s v="No"/>
    <s v="Y"/>
    <n v="2"/>
    <n v="-2"/>
    <n v="0"/>
    <x v="19"/>
    <x v="1"/>
    <m/>
    <n v="0"/>
    <n v="1"/>
    <n v="335"/>
    <n v="23"/>
    <x v="0"/>
    <x v="0"/>
    <n v="4"/>
    <n v="37"/>
    <n v="2"/>
    <n v="2"/>
    <x v="2"/>
    <n v="4332"/>
    <n v="14811"/>
    <n v="1"/>
    <n v="12"/>
    <n v="3"/>
    <n v="4"/>
    <n v="80"/>
    <n v="0"/>
    <n v="20"/>
    <n v="3"/>
    <n v="20"/>
    <n v="9"/>
    <n v="3"/>
    <n v="7"/>
  </r>
  <r>
    <s v="No"/>
    <s v="Non-Travel"/>
    <x v="0"/>
    <s v="Current Employees"/>
    <x v="1"/>
    <x v="0"/>
    <x v="1112"/>
    <x v="1112"/>
    <x v="1"/>
    <x v="5"/>
    <x v="0"/>
    <s v="No"/>
    <s v="Y"/>
    <n v="3"/>
    <n v="-2"/>
    <n v="0"/>
    <x v="22"/>
    <x v="1"/>
    <m/>
    <n v="0"/>
    <n v="1"/>
    <n v="105"/>
    <n v="9"/>
    <x v="3"/>
    <x v="0"/>
    <n v="4"/>
    <n v="87"/>
    <n v="3"/>
    <n v="5"/>
    <x v="0"/>
    <n v="19431"/>
    <n v="15302"/>
    <n v="2"/>
    <n v="13"/>
    <n v="3"/>
    <n v="3"/>
    <n v="80"/>
    <n v="0"/>
    <n v="21"/>
    <n v="2"/>
    <n v="6"/>
    <n v="0"/>
    <n v="1"/>
    <n v="3"/>
  </r>
  <r>
    <s v="No"/>
    <s v="Non-Travel"/>
    <x v="1"/>
    <s v="Current Employees"/>
    <x v="0"/>
    <x v="0"/>
    <x v="1113"/>
    <x v="1113"/>
    <x v="1"/>
    <x v="6"/>
    <x v="2"/>
    <s v="No"/>
    <s v="Y"/>
    <n v="3"/>
    <n v="-2"/>
    <n v="0"/>
    <x v="39"/>
    <x v="1"/>
    <m/>
    <n v="0"/>
    <n v="1"/>
    <n v="585"/>
    <n v="29"/>
    <x v="2"/>
    <x v="0"/>
    <n v="1"/>
    <n v="40"/>
    <n v="3"/>
    <n v="1"/>
    <x v="0"/>
    <n v="3482"/>
    <n v="19788"/>
    <n v="2"/>
    <n v="15"/>
    <n v="3"/>
    <n v="2"/>
    <n v="80"/>
    <n v="2"/>
    <n v="16"/>
    <n v="2"/>
    <n v="9"/>
    <n v="8"/>
    <n v="0"/>
    <n v="0"/>
  </r>
  <r>
    <s v="No"/>
    <s v="Non-Travel"/>
    <x v="1"/>
    <s v="Current Employees"/>
    <x v="0"/>
    <x v="3"/>
    <x v="1114"/>
    <x v="1114"/>
    <x v="1"/>
    <x v="0"/>
    <x v="1"/>
    <s v="No"/>
    <s v="Y"/>
    <n v="2"/>
    <n v="-2"/>
    <n v="0"/>
    <x v="28"/>
    <x v="1"/>
    <m/>
    <n v="0"/>
    <n v="1"/>
    <n v="336"/>
    <n v="26"/>
    <x v="3"/>
    <x v="0"/>
    <n v="1"/>
    <n v="52"/>
    <n v="2"/>
    <n v="2"/>
    <x v="1"/>
    <n v="4385"/>
    <n v="24162"/>
    <n v="1"/>
    <n v="15"/>
    <n v="3"/>
    <n v="1"/>
    <n v="80"/>
    <n v="1"/>
    <n v="10"/>
    <n v="3"/>
    <n v="10"/>
    <n v="7"/>
    <n v="4"/>
    <n v="5"/>
  </r>
  <r>
    <s v="No"/>
    <s v="Non-Travel"/>
    <x v="1"/>
    <s v="Current Employees"/>
    <x v="0"/>
    <x v="3"/>
    <x v="1115"/>
    <x v="1115"/>
    <x v="1"/>
    <x v="0"/>
    <x v="1"/>
    <s v="No"/>
    <s v="Y"/>
    <n v="3"/>
    <n v="-2"/>
    <n v="0"/>
    <x v="40"/>
    <x v="1"/>
    <m/>
    <n v="0"/>
    <n v="1"/>
    <n v="543"/>
    <n v="2"/>
    <x v="2"/>
    <x v="0"/>
    <n v="3"/>
    <n v="87"/>
    <n v="3"/>
    <n v="2"/>
    <x v="1"/>
    <n v="4978"/>
    <n v="3536"/>
    <n v="7"/>
    <n v="11"/>
    <n v="3"/>
    <n v="4"/>
    <n v="80"/>
    <n v="1"/>
    <n v="4"/>
    <n v="1"/>
    <n v="1"/>
    <n v="0"/>
    <n v="0"/>
    <n v="0"/>
  </r>
  <r>
    <s v="No"/>
    <s v="Non-Travel"/>
    <x v="1"/>
    <s v="Current Employees"/>
    <x v="0"/>
    <x v="0"/>
    <x v="1116"/>
    <x v="1116"/>
    <x v="1"/>
    <x v="0"/>
    <x v="0"/>
    <s v="No"/>
    <s v="Y"/>
    <n v="3"/>
    <n v="-2"/>
    <n v="0"/>
    <x v="21"/>
    <x v="1"/>
    <m/>
    <n v="0"/>
    <n v="1"/>
    <n v="849"/>
    <n v="26"/>
    <x v="0"/>
    <x v="0"/>
    <n v="2"/>
    <n v="98"/>
    <n v="2"/>
    <n v="2"/>
    <x v="1"/>
    <n v="7991"/>
    <n v="25166"/>
    <n v="8"/>
    <n v="15"/>
    <n v="3"/>
    <n v="3"/>
    <n v="80"/>
    <n v="0"/>
    <n v="6"/>
    <n v="3"/>
    <n v="2"/>
    <n v="2"/>
    <n v="2"/>
    <n v="2"/>
  </r>
  <r>
    <s v="No"/>
    <s v="Travel_Frequently"/>
    <x v="0"/>
    <s v="Current Employees"/>
    <x v="2"/>
    <x v="5"/>
    <x v="1117"/>
    <x v="1117"/>
    <x v="1"/>
    <x v="8"/>
    <x v="1"/>
    <s v="No"/>
    <s v="Y"/>
    <n v="2"/>
    <n v="-2"/>
    <n v="0"/>
    <x v="8"/>
    <x v="1"/>
    <m/>
    <n v="0"/>
    <n v="1"/>
    <n v="888"/>
    <n v="10"/>
    <x v="2"/>
    <x v="0"/>
    <n v="3"/>
    <n v="71"/>
    <n v="3"/>
    <n v="2"/>
    <x v="2"/>
    <n v="6077"/>
    <n v="14814"/>
    <n v="3"/>
    <n v="11"/>
    <n v="3"/>
    <n v="3"/>
    <n v="80"/>
    <n v="0"/>
    <n v="10"/>
    <n v="3"/>
    <n v="6"/>
    <n v="3"/>
    <n v="1"/>
    <n v="2"/>
  </r>
  <r>
    <s v="No"/>
    <s v="Travel_Frequently"/>
    <x v="4"/>
    <s v="Current Employees"/>
    <x v="2"/>
    <x v="2"/>
    <x v="1118"/>
    <x v="1118"/>
    <x v="1"/>
    <x v="8"/>
    <x v="1"/>
    <s v="No"/>
    <s v="Y"/>
    <n v="2"/>
    <n v="-2"/>
    <n v="0"/>
    <x v="17"/>
    <x v="1"/>
    <m/>
    <n v="0"/>
    <n v="1"/>
    <n v="897"/>
    <n v="10"/>
    <x v="3"/>
    <x v="0"/>
    <n v="1"/>
    <n v="59"/>
    <n v="3"/>
    <n v="1"/>
    <x v="0"/>
    <n v="2145"/>
    <n v="2097"/>
    <n v="0"/>
    <n v="14"/>
    <n v="3"/>
    <n v="4"/>
    <n v="80"/>
    <n v="1"/>
    <n v="3"/>
    <n v="3"/>
    <n v="2"/>
    <n v="2"/>
    <n v="2"/>
    <n v="1"/>
  </r>
  <r>
    <s v="No"/>
    <s v="Travel_Frequently"/>
    <x v="2"/>
    <s v="Current Employees"/>
    <x v="1"/>
    <x v="0"/>
    <x v="1119"/>
    <x v="1119"/>
    <x v="1"/>
    <x v="4"/>
    <x v="2"/>
    <s v="No"/>
    <s v="Y"/>
    <n v="0"/>
    <n v="-2"/>
    <n v="0"/>
    <x v="11"/>
    <x v="1"/>
    <m/>
    <n v="0"/>
    <n v="1"/>
    <n v="995"/>
    <n v="2"/>
    <x v="1"/>
    <x v="0"/>
    <n v="1"/>
    <n v="87"/>
    <n v="3"/>
    <n v="2"/>
    <x v="0"/>
    <n v="8853"/>
    <n v="24483"/>
    <n v="1"/>
    <n v="19"/>
    <n v="3"/>
    <n v="4"/>
    <n v="80"/>
    <n v="1"/>
    <n v="6"/>
    <n v="4"/>
    <n v="6"/>
    <n v="4"/>
    <n v="1"/>
    <n v="3"/>
  </r>
  <r>
    <s v="No"/>
    <s v="Travel_Frequently"/>
    <x v="2"/>
    <s v="Current Employees"/>
    <x v="1"/>
    <x v="0"/>
    <x v="1120"/>
    <x v="1120"/>
    <x v="1"/>
    <x v="3"/>
    <x v="2"/>
    <s v="No"/>
    <s v="Y"/>
    <n v="3"/>
    <n v="-2"/>
    <n v="0"/>
    <x v="13"/>
    <x v="1"/>
    <m/>
    <n v="0"/>
    <n v="1"/>
    <n v="426"/>
    <n v="10"/>
    <x v="2"/>
    <x v="0"/>
    <n v="3"/>
    <n v="42"/>
    <n v="4"/>
    <n v="2"/>
    <x v="0"/>
    <n v="4724"/>
    <n v="17000"/>
    <n v="1"/>
    <n v="13"/>
    <n v="3"/>
    <n v="1"/>
    <n v="80"/>
    <n v="1"/>
    <n v="9"/>
    <n v="3"/>
    <n v="9"/>
    <n v="7"/>
    <n v="7"/>
    <n v="2"/>
  </r>
  <r>
    <s v="No"/>
    <s v="Travel_Frequently"/>
    <x v="2"/>
    <s v="Current Employees"/>
    <x v="1"/>
    <x v="2"/>
    <x v="1121"/>
    <x v="1121"/>
    <x v="1"/>
    <x v="7"/>
    <x v="2"/>
    <s v="No"/>
    <s v="Y"/>
    <n v="3"/>
    <n v="-2"/>
    <n v="0"/>
    <x v="13"/>
    <x v="1"/>
    <m/>
    <n v="0"/>
    <n v="1"/>
    <n v="829"/>
    <n v="15"/>
    <x v="3"/>
    <x v="0"/>
    <n v="2"/>
    <n v="71"/>
    <n v="3"/>
    <n v="4"/>
    <x v="2"/>
    <n v="17007"/>
    <n v="11929"/>
    <n v="7"/>
    <n v="14"/>
    <n v="3"/>
    <n v="4"/>
    <n v="80"/>
    <n v="2"/>
    <n v="16"/>
    <n v="2"/>
    <n v="14"/>
    <n v="8"/>
    <n v="6"/>
    <n v="9"/>
  </r>
  <r>
    <s v="No"/>
    <s v="Travel_Frequently"/>
    <x v="2"/>
    <s v="Current Employees"/>
    <x v="1"/>
    <x v="1"/>
    <x v="1122"/>
    <x v="1122"/>
    <x v="1"/>
    <x v="1"/>
    <x v="2"/>
    <s v="No"/>
    <s v="Y"/>
    <n v="2"/>
    <n v="-2"/>
    <n v="0"/>
    <x v="13"/>
    <x v="1"/>
    <m/>
    <n v="0"/>
    <n v="1"/>
    <n v="560"/>
    <n v="1"/>
    <x v="2"/>
    <x v="0"/>
    <n v="4"/>
    <n v="91"/>
    <n v="3"/>
    <n v="1"/>
    <x v="2"/>
    <n v="2996"/>
    <n v="20284"/>
    <n v="5"/>
    <n v="14"/>
    <n v="3"/>
    <n v="3"/>
    <n v="80"/>
    <n v="2"/>
    <n v="10"/>
    <n v="3"/>
    <n v="4"/>
    <n v="3"/>
    <n v="1"/>
    <n v="3"/>
  </r>
  <r>
    <s v="No"/>
    <s v="Travel_Frequently"/>
    <x v="2"/>
    <s v="Current Employees"/>
    <x v="1"/>
    <x v="0"/>
    <x v="1123"/>
    <x v="1123"/>
    <x v="1"/>
    <x v="3"/>
    <x v="2"/>
    <s v="No"/>
    <s v="Y"/>
    <n v="6"/>
    <n v="-2"/>
    <n v="0"/>
    <x v="36"/>
    <x v="1"/>
    <m/>
    <n v="0"/>
    <n v="1"/>
    <n v="772"/>
    <n v="2"/>
    <x v="1"/>
    <x v="0"/>
    <n v="4"/>
    <n v="77"/>
    <n v="4"/>
    <n v="2"/>
    <x v="2"/>
    <n v="5206"/>
    <n v="4973"/>
    <n v="1"/>
    <n v="17"/>
    <n v="3"/>
    <n v="3"/>
    <n v="80"/>
    <n v="2"/>
    <n v="7"/>
    <n v="3"/>
    <n v="7"/>
    <n v="7"/>
    <n v="0"/>
    <n v="7"/>
  </r>
  <r>
    <s v="No"/>
    <s v="Travel_Frequently"/>
    <x v="1"/>
    <s v="Current Employees"/>
    <x v="1"/>
    <x v="0"/>
    <x v="1124"/>
    <x v="1124"/>
    <x v="1"/>
    <x v="7"/>
    <x v="1"/>
    <s v="No"/>
    <s v="Y"/>
    <n v="3"/>
    <n v="-2"/>
    <n v="0"/>
    <x v="1"/>
    <x v="1"/>
    <m/>
    <n v="0"/>
    <n v="1"/>
    <n v="1064"/>
    <n v="2"/>
    <x v="1"/>
    <x v="0"/>
    <n v="2"/>
    <n v="42"/>
    <n v="3"/>
    <n v="5"/>
    <x v="0"/>
    <n v="19161"/>
    <n v="13738"/>
    <n v="3"/>
    <n v="15"/>
    <n v="3"/>
    <n v="4"/>
    <n v="80"/>
    <n v="0"/>
    <n v="28"/>
    <n v="3"/>
    <n v="5"/>
    <n v="4"/>
    <n v="4"/>
    <n v="3"/>
  </r>
  <r>
    <s v="No"/>
    <s v="Travel_Frequently"/>
    <x v="2"/>
    <s v="Current Employees"/>
    <x v="1"/>
    <x v="2"/>
    <x v="1125"/>
    <x v="1125"/>
    <x v="1"/>
    <x v="2"/>
    <x v="1"/>
    <s v="No"/>
    <s v="Y"/>
    <n v="3"/>
    <n v="-2"/>
    <n v="0"/>
    <x v="11"/>
    <x v="1"/>
    <m/>
    <n v="0"/>
    <n v="1"/>
    <n v="574"/>
    <n v="20"/>
    <x v="1"/>
    <x v="0"/>
    <n v="4"/>
    <n v="40"/>
    <n v="3"/>
    <n v="1"/>
    <x v="0"/>
    <n v="3812"/>
    <n v="7003"/>
    <n v="1"/>
    <n v="13"/>
    <n v="3"/>
    <n v="2"/>
    <n v="80"/>
    <n v="0"/>
    <n v="11"/>
    <n v="4"/>
    <n v="11"/>
    <n v="8"/>
    <n v="3"/>
    <n v="10"/>
  </r>
  <r>
    <s v="No"/>
    <s v="Travel_Frequently"/>
    <x v="0"/>
    <s v="Current Employees"/>
    <x v="1"/>
    <x v="0"/>
    <x v="1126"/>
    <x v="1126"/>
    <x v="1"/>
    <x v="3"/>
    <x v="1"/>
    <s v="No"/>
    <s v="Y"/>
    <n v="1"/>
    <n v="-2"/>
    <n v="0"/>
    <x v="8"/>
    <x v="1"/>
    <m/>
    <n v="0"/>
    <n v="1"/>
    <n v="508"/>
    <n v="6"/>
    <x v="2"/>
    <x v="0"/>
    <n v="1"/>
    <n v="72"/>
    <n v="2"/>
    <n v="2"/>
    <x v="2"/>
    <n v="5321"/>
    <n v="14284"/>
    <n v="2"/>
    <n v="11"/>
    <n v="3"/>
    <n v="4"/>
    <n v="80"/>
    <n v="1"/>
    <n v="10"/>
    <n v="3"/>
    <n v="8"/>
    <n v="3"/>
    <n v="7"/>
    <n v="7"/>
  </r>
  <r>
    <s v="No"/>
    <s v="Travel_Frequently"/>
    <x v="2"/>
    <s v="Current Employees"/>
    <x v="1"/>
    <x v="0"/>
    <x v="1127"/>
    <x v="1127"/>
    <x v="1"/>
    <x v="1"/>
    <x v="1"/>
    <s v="No"/>
    <s v="Y"/>
    <n v="3"/>
    <n v="-2"/>
    <n v="0"/>
    <x v="5"/>
    <x v="1"/>
    <m/>
    <n v="0"/>
    <n v="1"/>
    <n v="585"/>
    <n v="10"/>
    <x v="3"/>
    <x v="0"/>
    <n v="1"/>
    <n v="56"/>
    <n v="3"/>
    <n v="1"/>
    <x v="2"/>
    <n v="3433"/>
    <n v="17360"/>
    <n v="6"/>
    <n v="13"/>
    <n v="3"/>
    <n v="1"/>
    <n v="80"/>
    <n v="1"/>
    <n v="10"/>
    <n v="2"/>
    <n v="5"/>
    <n v="2"/>
    <n v="1"/>
    <n v="3"/>
  </r>
  <r>
    <s v="No"/>
    <s v="Travel_Frequently"/>
    <x v="2"/>
    <s v="Current Employees"/>
    <x v="1"/>
    <x v="1"/>
    <x v="1128"/>
    <x v="1128"/>
    <x v="1"/>
    <x v="2"/>
    <x v="1"/>
    <s v="No"/>
    <s v="Y"/>
    <n v="3"/>
    <n v="-2"/>
    <n v="0"/>
    <x v="25"/>
    <x v="1"/>
    <m/>
    <n v="0"/>
    <n v="1"/>
    <n v="1096"/>
    <n v="6"/>
    <x v="3"/>
    <x v="0"/>
    <n v="3"/>
    <n v="61"/>
    <n v="4"/>
    <n v="1"/>
    <x v="0"/>
    <n v="2544"/>
    <n v="7102"/>
    <n v="0"/>
    <n v="18"/>
    <n v="3"/>
    <n v="1"/>
    <n v="80"/>
    <n v="1"/>
    <n v="8"/>
    <n v="3"/>
    <n v="7"/>
    <n v="7"/>
    <n v="7"/>
    <n v="7"/>
  </r>
  <r>
    <s v="No"/>
    <s v="Travel_Frequently"/>
    <x v="0"/>
    <s v="Current Employees"/>
    <x v="1"/>
    <x v="2"/>
    <x v="1129"/>
    <x v="1129"/>
    <x v="1"/>
    <x v="2"/>
    <x v="1"/>
    <s v="No"/>
    <s v="Y"/>
    <n v="3"/>
    <n v="-2"/>
    <n v="0"/>
    <x v="9"/>
    <x v="1"/>
    <m/>
    <n v="0"/>
    <n v="1"/>
    <n v="884"/>
    <n v="23"/>
    <x v="0"/>
    <x v="0"/>
    <n v="3"/>
    <n v="41"/>
    <n v="4"/>
    <n v="2"/>
    <x v="0"/>
    <n v="2571"/>
    <n v="12290"/>
    <n v="4"/>
    <n v="17"/>
    <n v="3"/>
    <n v="3"/>
    <n v="80"/>
    <n v="1"/>
    <n v="17"/>
    <n v="3"/>
    <n v="5"/>
    <n v="2"/>
    <n v="0"/>
    <n v="3"/>
  </r>
  <r>
    <s v="No"/>
    <s v="Travel_Frequently"/>
    <x v="2"/>
    <s v="Current Employees"/>
    <x v="1"/>
    <x v="4"/>
    <x v="1130"/>
    <x v="1130"/>
    <x v="1"/>
    <x v="4"/>
    <x v="1"/>
    <s v="No"/>
    <s v="Y"/>
    <n v="3"/>
    <n v="-2"/>
    <n v="0"/>
    <x v="13"/>
    <x v="1"/>
    <m/>
    <n v="0"/>
    <n v="1"/>
    <n v="653"/>
    <n v="10"/>
    <x v="2"/>
    <x v="0"/>
    <n v="4"/>
    <n v="92"/>
    <n v="2"/>
    <n v="2"/>
    <x v="0"/>
    <n v="5063"/>
    <n v="15332"/>
    <n v="1"/>
    <n v="14"/>
    <n v="3"/>
    <n v="2"/>
    <n v="80"/>
    <n v="1"/>
    <n v="8"/>
    <n v="2"/>
    <n v="8"/>
    <n v="2"/>
    <n v="7"/>
    <n v="7"/>
  </r>
  <r>
    <s v="No"/>
    <s v="Travel_Frequently"/>
    <x v="0"/>
    <s v="Current Employees"/>
    <x v="1"/>
    <x v="0"/>
    <x v="1131"/>
    <x v="1131"/>
    <x v="1"/>
    <x v="1"/>
    <x v="1"/>
    <s v="No"/>
    <s v="Y"/>
    <n v="4"/>
    <n v="-2"/>
    <n v="0"/>
    <x v="8"/>
    <x v="1"/>
    <m/>
    <n v="0"/>
    <n v="1"/>
    <n v="1189"/>
    <n v="1"/>
    <x v="3"/>
    <x v="0"/>
    <n v="4"/>
    <n v="90"/>
    <n v="3"/>
    <n v="2"/>
    <x v="0"/>
    <n v="4735"/>
    <n v="9867"/>
    <n v="7"/>
    <n v="15"/>
    <n v="3"/>
    <n v="4"/>
    <n v="80"/>
    <n v="2"/>
    <n v="19"/>
    <n v="4"/>
    <n v="13"/>
    <n v="11"/>
    <n v="2"/>
    <n v="9"/>
  </r>
  <r>
    <s v="No"/>
    <s v="Travel_Frequently"/>
    <x v="1"/>
    <s v="Current Employees"/>
    <x v="1"/>
    <x v="2"/>
    <x v="1132"/>
    <x v="1132"/>
    <x v="1"/>
    <x v="4"/>
    <x v="0"/>
    <s v="No"/>
    <s v="Y"/>
    <n v="3"/>
    <n v="-2"/>
    <n v="0"/>
    <x v="28"/>
    <x v="1"/>
    <m/>
    <n v="0"/>
    <n v="1"/>
    <n v="1297"/>
    <n v="1"/>
    <x v="2"/>
    <x v="0"/>
    <n v="2"/>
    <n v="44"/>
    <n v="3"/>
    <n v="2"/>
    <x v="2"/>
    <n v="5399"/>
    <n v="14511"/>
    <n v="4"/>
    <n v="12"/>
    <n v="3"/>
    <n v="3"/>
    <n v="80"/>
    <n v="0"/>
    <n v="12"/>
    <n v="3"/>
    <n v="4"/>
    <n v="2"/>
    <n v="0"/>
    <n v="3"/>
  </r>
  <r>
    <s v="No"/>
    <s v="Travel_Frequently"/>
    <x v="0"/>
    <s v="Current Employees"/>
    <x v="1"/>
    <x v="0"/>
    <x v="1133"/>
    <x v="1133"/>
    <x v="1"/>
    <x v="3"/>
    <x v="0"/>
    <s v="No"/>
    <s v="Y"/>
    <n v="2"/>
    <n v="-2"/>
    <n v="0"/>
    <x v="10"/>
    <x v="1"/>
    <m/>
    <n v="0"/>
    <n v="1"/>
    <n v="200"/>
    <n v="18"/>
    <x v="0"/>
    <x v="0"/>
    <n v="3"/>
    <n v="60"/>
    <n v="3"/>
    <n v="3"/>
    <x v="0"/>
    <n v="9362"/>
    <n v="19944"/>
    <n v="2"/>
    <n v="11"/>
    <n v="3"/>
    <n v="3"/>
    <n v="80"/>
    <n v="0"/>
    <n v="10"/>
    <n v="3"/>
    <n v="2"/>
    <n v="2"/>
    <n v="2"/>
    <n v="2"/>
  </r>
  <r>
    <s v="No"/>
    <s v="Travel_Frequently"/>
    <x v="2"/>
    <s v="Current Employees"/>
    <x v="1"/>
    <x v="2"/>
    <x v="1134"/>
    <x v="1134"/>
    <x v="1"/>
    <x v="1"/>
    <x v="0"/>
    <s v="No"/>
    <s v="Y"/>
    <n v="0"/>
    <n v="-2"/>
    <n v="0"/>
    <x v="4"/>
    <x v="1"/>
    <m/>
    <n v="0"/>
    <n v="1"/>
    <n v="591"/>
    <n v="2"/>
    <x v="3"/>
    <x v="0"/>
    <n v="4"/>
    <n v="87"/>
    <n v="3"/>
    <n v="1"/>
    <x v="0"/>
    <n v="2580"/>
    <n v="6297"/>
    <n v="2"/>
    <n v="13"/>
    <n v="3"/>
    <n v="3"/>
    <n v="80"/>
    <n v="0"/>
    <n v="6"/>
    <n v="2"/>
    <n v="4"/>
    <n v="2"/>
    <n v="1"/>
    <n v="2"/>
  </r>
  <r>
    <s v="No"/>
    <s v="Travel_Frequently"/>
    <x v="0"/>
    <s v="Current Employees"/>
    <x v="0"/>
    <x v="0"/>
    <x v="1135"/>
    <x v="1135"/>
    <x v="1"/>
    <x v="0"/>
    <x v="2"/>
    <s v="No"/>
    <s v="Y"/>
    <n v="6"/>
    <n v="-2"/>
    <n v="0"/>
    <x v="22"/>
    <x v="1"/>
    <m/>
    <n v="0"/>
    <n v="1"/>
    <n v="766"/>
    <n v="20"/>
    <x v="3"/>
    <x v="0"/>
    <n v="3"/>
    <n v="83"/>
    <n v="3"/>
    <n v="2"/>
    <x v="0"/>
    <n v="4127"/>
    <n v="19188"/>
    <n v="2"/>
    <n v="18"/>
    <n v="3"/>
    <n v="4"/>
    <n v="80"/>
    <n v="1"/>
    <n v="7"/>
    <n v="3"/>
    <n v="2"/>
    <n v="1"/>
    <n v="2"/>
    <n v="2"/>
  </r>
  <r>
    <s v="No"/>
    <s v="Travel_Frequently"/>
    <x v="0"/>
    <s v="Current Employees"/>
    <x v="0"/>
    <x v="2"/>
    <x v="1136"/>
    <x v="1136"/>
    <x v="1"/>
    <x v="0"/>
    <x v="2"/>
    <s v="No"/>
    <s v="Y"/>
    <n v="2"/>
    <n v="-2"/>
    <n v="0"/>
    <x v="2"/>
    <x v="1"/>
    <m/>
    <n v="0"/>
    <n v="1"/>
    <n v="1278"/>
    <n v="1"/>
    <x v="2"/>
    <x v="0"/>
    <n v="3"/>
    <n v="31"/>
    <n v="1"/>
    <n v="2"/>
    <x v="0"/>
    <n v="9525"/>
    <n v="7677"/>
    <n v="1"/>
    <n v="14"/>
    <n v="3"/>
    <n v="3"/>
    <n v="80"/>
    <n v="2"/>
    <n v="6"/>
    <n v="2"/>
    <n v="6"/>
    <n v="3"/>
    <n v="1"/>
    <n v="3"/>
  </r>
  <r>
    <s v="No"/>
    <s v="Travel_Frequently"/>
    <x v="1"/>
    <s v="Current Employees"/>
    <x v="0"/>
    <x v="2"/>
    <x v="1137"/>
    <x v="1137"/>
    <x v="1"/>
    <x v="0"/>
    <x v="1"/>
    <s v="No"/>
    <s v="Y"/>
    <n v="3"/>
    <n v="-2"/>
    <n v="0"/>
    <x v="1"/>
    <x v="1"/>
    <m/>
    <n v="0"/>
    <n v="1"/>
    <n v="1023"/>
    <n v="2"/>
    <x v="3"/>
    <x v="0"/>
    <n v="4"/>
    <n v="63"/>
    <n v="2"/>
    <n v="2"/>
    <x v="1"/>
    <n v="5390"/>
    <n v="13243"/>
    <n v="2"/>
    <n v="14"/>
    <n v="3"/>
    <n v="4"/>
    <n v="80"/>
    <n v="0"/>
    <n v="17"/>
    <n v="2"/>
    <n v="9"/>
    <n v="6"/>
    <n v="0"/>
    <n v="8"/>
  </r>
  <r>
    <s v="No"/>
    <s v="Travel_Frequently"/>
    <x v="2"/>
    <s v="Current Employees"/>
    <x v="0"/>
    <x v="2"/>
    <x v="1138"/>
    <x v="1138"/>
    <x v="1"/>
    <x v="0"/>
    <x v="1"/>
    <s v="No"/>
    <s v="Y"/>
    <n v="2"/>
    <n v="-2"/>
    <n v="0"/>
    <x v="3"/>
    <x v="1"/>
    <m/>
    <n v="0"/>
    <n v="1"/>
    <n v="430"/>
    <n v="7"/>
    <x v="3"/>
    <x v="0"/>
    <n v="4"/>
    <n v="54"/>
    <n v="3"/>
    <n v="2"/>
    <x v="2"/>
    <n v="4373"/>
    <n v="17456"/>
    <n v="0"/>
    <n v="14"/>
    <n v="3"/>
    <n v="1"/>
    <n v="80"/>
    <n v="2"/>
    <n v="5"/>
    <n v="3"/>
    <n v="4"/>
    <n v="3"/>
    <n v="0"/>
    <n v="3"/>
  </r>
  <r>
    <s v="No"/>
    <s v="Travel_Frequently"/>
    <x v="2"/>
    <s v="Current Employees"/>
    <x v="0"/>
    <x v="0"/>
    <x v="1139"/>
    <x v="1139"/>
    <x v="1"/>
    <x v="0"/>
    <x v="0"/>
    <s v="No"/>
    <s v="Y"/>
    <n v="5"/>
    <n v="-2"/>
    <n v="0"/>
    <x v="14"/>
    <x v="1"/>
    <m/>
    <n v="0"/>
    <n v="1"/>
    <n v="467"/>
    <n v="7"/>
    <x v="3"/>
    <x v="0"/>
    <n v="3"/>
    <n v="55"/>
    <n v="3"/>
    <n v="2"/>
    <x v="2"/>
    <n v="4898"/>
    <n v="11827"/>
    <n v="0"/>
    <n v="14"/>
    <n v="3"/>
    <n v="4"/>
    <n v="80"/>
    <n v="0"/>
    <n v="5"/>
    <n v="3"/>
    <n v="4"/>
    <n v="2"/>
    <n v="1"/>
    <n v="3"/>
  </r>
  <r>
    <s v="No"/>
    <s v="Travel_Frequently"/>
    <x v="2"/>
    <s v="Current Employees"/>
    <x v="0"/>
    <x v="1"/>
    <x v="1140"/>
    <x v="1140"/>
    <x v="1"/>
    <x v="0"/>
    <x v="0"/>
    <s v="No"/>
    <s v="Y"/>
    <n v="3"/>
    <n v="-2"/>
    <n v="0"/>
    <x v="12"/>
    <x v="1"/>
    <m/>
    <n v="0"/>
    <n v="1"/>
    <n v="715"/>
    <n v="2"/>
    <x v="2"/>
    <x v="0"/>
    <n v="4"/>
    <n v="54"/>
    <n v="3"/>
    <n v="2"/>
    <x v="2"/>
    <n v="5332"/>
    <n v="21602"/>
    <n v="7"/>
    <n v="13"/>
    <n v="3"/>
    <n v="4"/>
    <n v="80"/>
    <n v="0"/>
    <n v="10"/>
    <n v="3"/>
    <n v="5"/>
    <n v="2"/>
    <n v="0"/>
    <n v="3"/>
  </r>
  <r>
    <s v="No"/>
    <s v="Travel_Frequently"/>
    <x v="2"/>
    <s v="Current Employees"/>
    <x v="0"/>
    <x v="3"/>
    <x v="1141"/>
    <x v="1141"/>
    <x v="1"/>
    <x v="0"/>
    <x v="0"/>
    <s v="No"/>
    <s v="Y"/>
    <n v="2"/>
    <n v="-2"/>
    <n v="0"/>
    <x v="5"/>
    <x v="1"/>
    <m/>
    <n v="0"/>
    <n v="1"/>
    <n v="1318"/>
    <n v="10"/>
    <x v="2"/>
    <x v="0"/>
    <n v="4"/>
    <n v="79"/>
    <n v="3"/>
    <n v="2"/>
    <x v="1"/>
    <n v="4648"/>
    <n v="26075"/>
    <n v="8"/>
    <n v="13"/>
    <n v="3"/>
    <n v="3"/>
    <n v="80"/>
    <n v="0"/>
    <n v="4"/>
    <n v="4"/>
    <n v="0"/>
    <n v="0"/>
    <n v="0"/>
    <n v="0"/>
  </r>
  <r>
    <s v="No"/>
    <s v="Travel_Rarely"/>
    <x v="0"/>
    <s v="Current Employees"/>
    <x v="2"/>
    <x v="1"/>
    <x v="1142"/>
    <x v="1142"/>
    <x v="1"/>
    <x v="8"/>
    <x v="2"/>
    <s v="No"/>
    <s v="Y"/>
    <n v="4"/>
    <n v="-2"/>
    <n v="0"/>
    <x v="2"/>
    <x v="1"/>
    <m/>
    <n v="0"/>
    <n v="1"/>
    <n v="1239"/>
    <n v="8"/>
    <x v="0"/>
    <x v="0"/>
    <n v="3"/>
    <n v="89"/>
    <n v="3"/>
    <n v="2"/>
    <x v="1"/>
    <n v="4071"/>
    <n v="12832"/>
    <n v="2"/>
    <n v="13"/>
    <n v="3"/>
    <n v="3"/>
    <n v="80"/>
    <n v="0"/>
    <n v="19"/>
    <n v="2"/>
    <n v="10"/>
    <n v="0"/>
    <n v="4"/>
    <n v="7"/>
  </r>
  <r>
    <s v="No"/>
    <s v="Travel_Rarely"/>
    <x v="2"/>
    <s v="Current Employees"/>
    <x v="2"/>
    <x v="2"/>
    <x v="1143"/>
    <x v="1143"/>
    <x v="1"/>
    <x v="8"/>
    <x v="1"/>
    <s v="No"/>
    <s v="Y"/>
    <n v="3"/>
    <n v="-2"/>
    <n v="0"/>
    <x v="11"/>
    <x v="1"/>
    <m/>
    <n v="0"/>
    <n v="1"/>
    <n v="352"/>
    <n v="6"/>
    <x v="1"/>
    <x v="0"/>
    <n v="4"/>
    <n v="87"/>
    <n v="2"/>
    <n v="1"/>
    <x v="1"/>
    <n v="2804"/>
    <n v="15434"/>
    <n v="1"/>
    <n v="11"/>
    <n v="3"/>
    <n v="4"/>
    <n v="80"/>
    <n v="0"/>
    <n v="1"/>
    <n v="3"/>
    <n v="1"/>
    <n v="0"/>
    <n v="0"/>
    <n v="0"/>
  </r>
  <r>
    <s v="No"/>
    <s v="Travel_Rarely"/>
    <x v="2"/>
    <s v="Current Employees"/>
    <x v="2"/>
    <x v="1"/>
    <x v="1144"/>
    <x v="1144"/>
    <x v="1"/>
    <x v="8"/>
    <x v="0"/>
    <s v="No"/>
    <s v="Y"/>
    <n v="3"/>
    <n v="-2"/>
    <n v="0"/>
    <x v="11"/>
    <x v="1"/>
    <m/>
    <n v="0"/>
    <n v="1"/>
    <n v="332"/>
    <n v="17"/>
    <x v="3"/>
    <x v="0"/>
    <n v="2"/>
    <n v="51"/>
    <n v="2"/>
    <n v="3"/>
    <x v="2"/>
    <n v="7988"/>
    <n v="9769"/>
    <n v="1"/>
    <n v="13"/>
    <n v="3"/>
    <n v="1"/>
    <n v="80"/>
    <n v="0"/>
    <n v="10"/>
    <n v="2"/>
    <n v="10"/>
    <n v="9"/>
    <n v="0"/>
    <n v="9"/>
  </r>
  <r>
    <s v="No"/>
    <s v="Travel_Rarely"/>
    <x v="0"/>
    <s v="Current Employees"/>
    <x v="2"/>
    <x v="0"/>
    <x v="1145"/>
    <x v="1145"/>
    <x v="1"/>
    <x v="8"/>
    <x v="0"/>
    <s v="No"/>
    <s v="Y"/>
    <n v="5"/>
    <n v="-2"/>
    <n v="0"/>
    <x v="23"/>
    <x v="1"/>
    <m/>
    <n v="0"/>
    <n v="1"/>
    <n v="244"/>
    <n v="2"/>
    <x v="3"/>
    <x v="0"/>
    <n v="2"/>
    <n v="97"/>
    <n v="3"/>
    <n v="1"/>
    <x v="0"/>
    <n v="3539"/>
    <n v="5033"/>
    <n v="0"/>
    <n v="13"/>
    <n v="3"/>
    <n v="2"/>
    <n v="80"/>
    <n v="0"/>
    <n v="10"/>
    <n v="3"/>
    <n v="9"/>
    <n v="7"/>
    <n v="1"/>
    <n v="8"/>
  </r>
  <r>
    <s v="No"/>
    <s v="Travel_Rarely"/>
    <x v="3"/>
    <s v="Current Employees"/>
    <x v="1"/>
    <x v="4"/>
    <x v="1146"/>
    <x v="1146"/>
    <x v="1"/>
    <x v="1"/>
    <x v="2"/>
    <s v="No"/>
    <s v="Y"/>
    <n v="1"/>
    <n v="-2"/>
    <n v="0"/>
    <x v="27"/>
    <x v="1"/>
    <m/>
    <n v="0"/>
    <n v="1"/>
    <n v="1441"/>
    <n v="22"/>
    <x v="3"/>
    <x v="0"/>
    <n v="4"/>
    <n v="94"/>
    <n v="2"/>
    <n v="1"/>
    <x v="0"/>
    <n v="3537"/>
    <n v="23737"/>
    <n v="5"/>
    <n v="12"/>
    <n v="3"/>
    <n v="4"/>
    <n v="80"/>
    <n v="1"/>
    <n v="8"/>
    <n v="3"/>
    <n v="4"/>
    <n v="2"/>
    <n v="1"/>
    <n v="2"/>
  </r>
  <r>
    <s v="No"/>
    <s v="Travel_Rarely"/>
    <x v="2"/>
    <s v="Current Employees"/>
    <x v="1"/>
    <x v="0"/>
    <x v="1147"/>
    <x v="1147"/>
    <x v="1"/>
    <x v="1"/>
    <x v="2"/>
    <s v="No"/>
    <s v="Y"/>
    <n v="2"/>
    <n v="-2"/>
    <n v="0"/>
    <x v="14"/>
    <x v="1"/>
    <m/>
    <n v="0"/>
    <n v="1"/>
    <n v="1423"/>
    <n v="1"/>
    <x v="3"/>
    <x v="0"/>
    <n v="1"/>
    <n v="72"/>
    <n v="2"/>
    <n v="1"/>
    <x v="2"/>
    <n v="1563"/>
    <n v="12530"/>
    <n v="1"/>
    <n v="14"/>
    <n v="3"/>
    <n v="4"/>
    <n v="80"/>
    <n v="1"/>
    <n v="1"/>
    <n v="1"/>
    <n v="1"/>
    <n v="0"/>
    <n v="0"/>
    <n v="0"/>
  </r>
  <r>
    <s v="No"/>
    <s v="Travel_Rarely"/>
    <x v="0"/>
    <s v="Current Employees"/>
    <x v="1"/>
    <x v="0"/>
    <x v="1148"/>
    <x v="1148"/>
    <x v="1"/>
    <x v="5"/>
    <x v="2"/>
    <s v="No"/>
    <s v="Y"/>
    <n v="3"/>
    <n v="-2"/>
    <n v="0"/>
    <x v="32"/>
    <x v="1"/>
    <m/>
    <n v="0"/>
    <n v="1"/>
    <n v="1137"/>
    <n v="1"/>
    <x v="2"/>
    <x v="0"/>
    <n v="1"/>
    <n v="98"/>
    <n v="3"/>
    <n v="4"/>
    <x v="2"/>
    <n v="16823"/>
    <n v="18991"/>
    <n v="2"/>
    <n v="11"/>
    <n v="3"/>
    <n v="1"/>
    <n v="80"/>
    <n v="1"/>
    <n v="22"/>
    <n v="3"/>
    <n v="19"/>
    <n v="7"/>
    <n v="11"/>
    <n v="16"/>
  </r>
  <r>
    <s v="No"/>
    <s v="Travel_Rarely"/>
    <x v="2"/>
    <s v="Current Employees"/>
    <x v="1"/>
    <x v="0"/>
    <x v="1149"/>
    <x v="1149"/>
    <x v="1"/>
    <x v="2"/>
    <x v="2"/>
    <s v="No"/>
    <s v="Y"/>
    <n v="2"/>
    <n v="-2"/>
    <n v="0"/>
    <x v="12"/>
    <x v="1"/>
    <m/>
    <n v="0"/>
    <n v="1"/>
    <n v="311"/>
    <n v="20"/>
    <x v="3"/>
    <x v="0"/>
    <n v="2"/>
    <n v="89"/>
    <n v="3"/>
    <n v="2"/>
    <x v="2"/>
    <n v="4197"/>
    <n v="18624"/>
    <n v="1"/>
    <n v="11"/>
    <n v="3"/>
    <n v="1"/>
    <n v="80"/>
    <n v="1"/>
    <n v="10"/>
    <n v="3"/>
    <n v="10"/>
    <n v="8"/>
    <n v="0"/>
    <n v="2"/>
  </r>
  <r>
    <s v="No"/>
    <s v="Travel_Rarely"/>
    <x v="0"/>
    <s v="Current Employees"/>
    <x v="1"/>
    <x v="2"/>
    <x v="1150"/>
    <x v="1150"/>
    <x v="1"/>
    <x v="2"/>
    <x v="2"/>
    <s v="No"/>
    <s v="Y"/>
    <n v="3"/>
    <n v="-2"/>
    <n v="0"/>
    <x v="22"/>
    <x v="1"/>
    <m/>
    <n v="0"/>
    <n v="1"/>
    <n v="170"/>
    <n v="3"/>
    <x v="0"/>
    <x v="0"/>
    <n v="3"/>
    <n v="76"/>
    <n v="2"/>
    <n v="2"/>
    <x v="2"/>
    <n v="3069"/>
    <n v="10302"/>
    <n v="0"/>
    <n v="15"/>
    <n v="3"/>
    <n v="4"/>
    <n v="80"/>
    <n v="1"/>
    <n v="11"/>
    <n v="3"/>
    <n v="10"/>
    <n v="8"/>
    <n v="0"/>
    <n v="7"/>
  </r>
  <r>
    <s v="No"/>
    <s v="Travel_Rarely"/>
    <x v="0"/>
    <s v="Current Employees"/>
    <x v="1"/>
    <x v="2"/>
    <x v="1151"/>
    <x v="1151"/>
    <x v="1"/>
    <x v="1"/>
    <x v="2"/>
    <s v="No"/>
    <s v="Y"/>
    <n v="3"/>
    <n v="-2"/>
    <n v="0"/>
    <x v="32"/>
    <x v="1"/>
    <m/>
    <n v="0"/>
    <n v="1"/>
    <n v="896"/>
    <n v="2"/>
    <x v="3"/>
    <x v="0"/>
    <n v="3"/>
    <n v="68"/>
    <n v="3"/>
    <n v="1"/>
    <x v="2"/>
    <n v="2345"/>
    <n v="8045"/>
    <n v="2"/>
    <n v="14"/>
    <n v="3"/>
    <n v="3"/>
    <n v="80"/>
    <n v="1"/>
    <n v="8"/>
    <n v="4"/>
    <n v="3"/>
    <n v="1"/>
    <n v="1"/>
    <n v="2"/>
  </r>
  <r>
    <s v="No"/>
    <s v="Travel_Rarely"/>
    <x v="1"/>
    <s v="Current Employees"/>
    <x v="1"/>
    <x v="0"/>
    <x v="1152"/>
    <x v="1152"/>
    <x v="1"/>
    <x v="3"/>
    <x v="2"/>
    <s v="No"/>
    <s v="Y"/>
    <n v="4"/>
    <n v="-2"/>
    <n v="0"/>
    <x v="21"/>
    <x v="1"/>
    <m/>
    <n v="0"/>
    <n v="1"/>
    <n v="706"/>
    <n v="2"/>
    <x v="0"/>
    <x v="0"/>
    <n v="4"/>
    <n v="82"/>
    <n v="3"/>
    <n v="3"/>
    <x v="0"/>
    <n v="8578"/>
    <n v="19989"/>
    <n v="3"/>
    <n v="14"/>
    <n v="3"/>
    <n v="3"/>
    <n v="80"/>
    <n v="1"/>
    <n v="12"/>
    <n v="2"/>
    <n v="9"/>
    <n v="8"/>
    <n v="4"/>
    <n v="7"/>
  </r>
  <r>
    <s v="No"/>
    <s v="Travel_Rarely"/>
    <x v="0"/>
    <s v="Current Employees"/>
    <x v="1"/>
    <x v="4"/>
    <x v="1153"/>
    <x v="1153"/>
    <x v="1"/>
    <x v="2"/>
    <x v="2"/>
    <s v="No"/>
    <s v="Y"/>
    <n v="0"/>
    <n v="-2"/>
    <n v="0"/>
    <x v="23"/>
    <x v="1"/>
    <m/>
    <n v="0"/>
    <n v="1"/>
    <n v="990"/>
    <n v="27"/>
    <x v="3"/>
    <x v="0"/>
    <n v="4"/>
    <n v="87"/>
    <n v="4"/>
    <n v="1"/>
    <x v="0"/>
    <n v="4876"/>
    <n v="5855"/>
    <n v="5"/>
    <n v="12"/>
    <n v="3"/>
    <n v="3"/>
    <n v="80"/>
    <n v="1"/>
    <n v="8"/>
    <n v="3"/>
    <n v="6"/>
    <n v="4"/>
    <n v="0"/>
    <n v="2"/>
  </r>
  <r>
    <s v="No"/>
    <s v="Travel_Rarely"/>
    <x v="0"/>
    <s v="Current Employees"/>
    <x v="1"/>
    <x v="0"/>
    <x v="1154"/>
    <x v="1154"/>
    <x v="1"/>
    <x v="1"/>
    <x v="2"/>
    <s v="No"/>
    <s v="Y"/>
    <n v="0"/>
    <n v="-2"/>
    <n v="0"/>
    <x v="8"/>
    <x v="1"/>
    <m/>
    <n v="0"/>
    <n v="1"/>
    <n v="1206"/>
    <n v="9"/>
    <x v="0"/>
    <x v="0"/>
    <n v="2"/>
    <n v="71"/>
    <n v="3"/>
    <n v="1"/>
    <x v="0"/>
    <n v="4771"/>
    <n v="14293"/>
    <n v="2"/>
    <n v="19"/>
    <n v="3"/>
    <n v="4"/>
    <n v="80"/>
    <n v="2"/>
    <n v="10"/>
    <n v="4"/>
    <n v="5"/>
    <n v="2"/>
    <n v="0"/>
    <n v="3"/>
  </r>
  <r>
    <s v="No"/>
    <s v="Travel_Rarely"/>
    <x v="3"/>
    <s v="Current Employees"/>
    <x v="1"/>
    <x v="2"/>
    <x v="1155"/>
    <x v="1155"/>
    <x v="1"/>
    <x v="7"/>
    <x v="2"/>
    <s v="No"/>
    <s v="Y"/>
    <n v="4"/>
    <n v="-2"/>
    <n v="0"/>
    <x v="27"/>
    <x v="1"/>
    <m/>
    <n v="0"/>
    <n v="1"/>
    <n v="1136"/>
    <n v="1"/>
    <x v="2"/>
    <x v="0"/>
    <n v="2"/>
    <n v="81"/>
    <n v="4"/>
    <n v="4"/>
    <x v="0"/>
    <n v="14732"/>
    <n v="12414"/>
    <n v="2"/>
    <n v="13"/>
    <n v="3"/>
    <n v="4"/>
    <n v="80"/>
    <n v="2"/>
    <n v="31"/>
    <n v="4"/>
    <n v="7"/>
    <n v="7"/>
    <n v="0"/>
    <n v="0"/>
  </r>
  <r>
    <s v="No"/>
    <s v="Travel_Rarely"/>
    <x v="1"/>
    <s v="Current Employees"/>
    <x v="1"/>
    <x v="0"/>
    <x v="1156"/>
    <x v="1156"/>
    <x v="1"/>
    <x v="4"/>
    <x v="2"/>
    <s v="No"/>
    <s v="Y"/>
    <n v="3"/>
    <n v="-2"/>
    <n v="0"/>
    <x v="1"/>
    <x v="1"/>
    <m/>
    <n v="0"/>
    <n v="1"/>
    <n v="1490"/>
    <n v="7"/>
    <x v="2"/>
    <x v="0"/>
    <n v="3"/>
    <n v="35"/>
    <n v="3"/>
    <n v="3"/>
    <x v="1"/>
    <n v="10466"/>
    <n v="20948"/>
    <n v="3"/>
    <n v="14"/>
    <n v="3"/>
    <n v="2"/>
    <n v="80"/>
    <n v="2"/>
    <n v="29"/>
    <n v="3"/>
    <n v="8"/>
    <n v="7"/>
    <n v="0"/>
    <n v="7"/>
  </r>
  <r>
    <s v="No"/>
    <s v="Travel_Rarely"/>
    <x v="2"/>
    <s v="Current Employees"/>
    <x v="1"/>
    <x v="0"/>
    <x v="1157"/>
    <x v="1157"/>
    <x v="1"/>
    <x v="4"/>
    <x v="2"/>
    <s v="No"/>
    <s v="Y"/>
    <n v="3"/>
    <n v="-2"/>
    <n v="0"/>
    <x v="11"/>
    <x v="1"/>
    <m/>
    <n v="0"/>
    <n v="1"/>
    <n v="726"/>
    <n v="29"/>
    <x v="1"/>
    <x v="0"/>
    <n v="4"/>
    <n v="93"/>
    <n v="1"/>
    <n v="2"/>
    <x v="2"/>
    <n v="6384"/>
    <n v="21143"/>
    <n v="8"/>
    <n v="17"/>
    <n v="3"/>
    <n v="4"/>
    <n v="80"/>
    <n v="2"/>
    <n v="11"/>
    <n v="3"/>
    <n v="7"/>
    <n v="0"/>
    <n v="1"/>
    <n v="6"/>
  </r>
  <r>
    <s v="No"/>
    <s v="Travel_Rarely"/>
    <x v="2"/>
    <s v="Current Employees"/>
    <x v="1"/>
    <x v="1"/>
    <x v="1158"/>
    <x v="1158"/>
    <x v="1"/>
    <x v="2"/>
    <x v="2"/>
    <s v="No"/>
    <s v="Y"/>
    <n v="3"/>
    <n v="-2"/>
    <n v="0"/>
    <x v="4"/>
    <x v="1"/>
    <m/>
    <n v="0"/>
    <n v="1"/>
    <n v="1302"/>
    <n v="19"/>
    <x v="3"/>
    <x v="0"/>
    <n v="4"/>
    <n v="67"/>
    <n v="2"/>
    <n v="1"/>
    <x v="2"/>
    <n v="4066"/>
    <n v="16290"/>
    <n v="1"/>
    <n v="11"/>
    <n v="3"/>
    <n v="1"/>
    <n v="80"/>
    <n v="2"/>
    <n v="7"/>
    <n v="3"/>
    <n v="7"/>
    <n v="7"/>
    <n v="0"/>
    <n v="7"/>
  </r>
  <r>
    <s v="No"/>
    <s v="Travel_Rarely"/>
    <x v="2"/>
    <s v="Current Employees"/>
    <x v="1"/>
    <x v="2"/>
    <x v="1159"/>
    <x v="1159"/>
    <x v="1"/>
    <x v="1"/>
    <x v="2"/>
    <s v="No"/>
    <s v="Y"/>
    <n v="4"/>
    <n v="-2"/>
    <n v="0"/>
    <x v="5"/>
    <x v="1"/>
    <m/>
    <n v="0"/>
    <n v="1"/>
    <n v="977"/>
    <n v="2"/>
    <x v="3"/>
    <x v="0"/>
    <n v="4"/>
    <n v="45"/>
    <n v="3"/>
    <n v="2"/>
    <x v="1"/>
    <n v="5470"/>
    <n v="25518"/>
    <n v="0"/>
    <n v="13"/>
    <n v="3"/>
    <n v="3"/>
    <n v="80"/>
    <n v="2"/>
    <n v="10"/>
    <n v="2"/>
    <n v="9"/>
    <n v="5"/>
    <n v="1"/>
    <n v="6"/>
  </r>
  <r>
    <s v="No"/>
    <s v="Travel_Rarely"/>
    <x v="1"/>
    <s v="Current Employees"/>
    <x v="1"/>
    <x v="4"/>
    <x v="1160"/>
    <x v="1160"/>
    <x v="1"/>
    <x v="4"/>
    <x v="2"/>
    <s v="No"/>
    <s v="Y"/>
    <n v="4"/>
    <n v="-2"/>
    <n v="0"/>
    <x v="28"/>
    <x v="1"/>
    <m/>
    <n v="0"/>
    <n v="1"/>
    <n v="538"/>
    <n v="1"/>
    <x v="2"/>
    <x v="0"/>
    <n v="4"/>
    <n v="66"/>
    <n v="3"/>
    <n v="3"/>
    <x v="0"/>
    <n v="7441"/>
    <n v="20933"/>
    <n v="1"/>
    <n v="12"/>
    <n v="3"/>
    <n v="1"/>
    <n v="80"/>
    <n v="3"/>
    <n v="10"/>
    <n v="3"/>
    <n v="10"/>
    <n v="8"/>
    <n v="7"/>
    <n v="7"/>
  </r>
  <r>
    <s v="No"/>
    <s v="Travel_Rarely"/>
    <x v="4"/>
    <s v="Current Employees"/>
    <x v="1"/>
    <x v="2"/>
    <x v="1161"/>
    <x v="1161"/>
    <x v="1"/>
    <x v="2"/>
    <x v="2"/>
    <s v="No"/>
    <s v="Y"/>
    <n v="2"/>
    <n v="-2"/>
    <n v="0"/>
    <x v="17"/>
    <x v="1"/>
    <m/>
    <n v="0"/>
    <n v="1"/>
    <n v="506"/>
    <n v="29"/>
    <x v="1"/>
    <x v="0"/>
    <n v="2"/>
    <n v="91"/>
    <n v="3"/>
    <n v="1"/>
    <x v="2"/>
    <n v="3907"/>
    <n v="3622"/>
    <n v="1"/>
    <n v="13"/>
    <n v="3"/>
    <n v="2"/>
    <n v="80"/>
    <n v="3"/>
    <n v="6"/>
    <n v="4"/>
    <n v="6"/>
    <n v="2"/>
    <n v="1"/>
    <n v="2"/>
  </r>
  <r>
    <s v="No"/>
    <s v="Travel_Rarely"/>
    <x v="4"/>
    <s v="Current Employees"/>
    <x v="1"/>
    <x v="4"/>
    <x v="1162"/>
    <x v="1162"/>
    <x v="1"/>
    <x v="2"/>
    <x v="2"/>
    <s v="No"/>
    <s v="Y"/>
    <n v="3"/>
    <n v="-2"/>
    <n v="0"/>
    <x v="17"/>
    <x v="1"/>
    <m/>
    <n v="0"/>
    <n v="1"/>
    <n v="350"/>
    <n v="21"/>
    <x v="0"/>
    <x v="0"/>
    <n v="4"/>
    <n v="57"/>
    <n v="2"/>
    <n v="1"/>
    <x v="0"/>
    <n v="2296"/>
    <n v="10036"/>
    <n v="0"/>
    <n v="14"/>
    <n v="3"/>
    <n v="2"/>
    <n v="80"/>
    <n v="3"/>
    <n v="2"/>
    <n v="3"/>
    <n v="1"/>
    <n v="1"/>
    <n v="0"/>
    <n v="0"/>
  </r>
  <r>
    <s v="No"/>
    <s v="Travel_Rarely"/>
    <x v="0"/>
    <s v="Current Employees"/>
    <x v="1"/>
    <x v="1"/>
    <x v="1163"/>
    <x v="1163"/>
    <x v="1"/>
    <x v="1"/>
    <x v="2"/>
    <s v="No"/>
    <s v="Y"/>
    <n v="2"/>
    <n v="-2"/>
    <n v="0"/>
    <x v="22"/>
    <x v="1"/>
    <m/>
    <n v="0"/>
    <n v="1"/>
    <n v="835"/>
    <n v="19"/>
    <x v="2"/>
    <x v="0"/>
    <n v="4"/>
    <n v="41"/>
    <n v="3"/>
    <n v="2"/>
    <x v="0"/>
    <n v="3902"/>
    <n v="5141"/>
    <n v="8"/>
    <n v="14"/>
    <n v="3"/>
    <n v="2"/>
    <n v="80"/>
    <n v="3"/>
    <n v="7"/>
    <n v="3"/>
    <n v="2"/>
    <n v="2"/>
    <n v="2"/>
    <n v="2"/>
  </r>
  <r>
    <s v="No"/>
    <s v="Travel_Rarely"/>
    <x v="0"/>
    <s v="Current Employees"/>
    <x v="1"/>
    <x v="0"/>
    <x v="1164"/>
    <x v="1164"/>
    <x v="1"/>
    <x v="5"/>
    <x v="1"/>
    <s v="No"/>
    <s v="Y"/>
    <n v="2"/>
    <n v="-2"/>
    <n v="0"/>
    <x v="19"/>
    <x v="1"/>
    <m/>
    <n v="0"/>
    <n v="1"/>
    <n v="300"/>
    <n v="2"/>
    <x v="3"/>
    <x v="0"/>
    <n v="1"/>
    <n v="56"/>
    <n v="3"/>
    <n v="5"/>
    <x v="2"/>
    <n v="18880"/>
    <n v="17312"/>
    <n v="5"/>
    <n v="11"/>
    <n v="3"/>
    <n v="1"/>
    <n v="80"/>
    <n v="0"/>
    <n v="24"/>
    <n v="2"/>
    <n v="22"/>
    <n v="6"/>
    <n v="4"/>
    <n v="14"/>
  </r>
  <r>
    <s v="No"/>
    <s v="Travel_Rarely"/>
    <x v="0"/>
    <s v="Current Employees"/>
    <x v="1"/>
    <x v="2"/>
    <x v="1165"/>
    <x v="1165"/>
    <x v="1"/>
    <x v="1"/>
    <x v="1"/>
    <s v="No"/>
    <s v="Y"/>
    <n v="2"/>
    <n v="-2"/>
    <n v="0"/>
    <x v="2"/>
    <x v="1"/>
    <m/>
    <n v="0"/>
    <n v="1"/>
    <n v="674"/>
    <n v="13"/>
    <x v="3"/>
    <x v="0"/>
    <n v="1"/>
    <n v="47"/>
    <n v="3"/>
    <n v="2"/>
    <x v="0"/>
    <n v="4285"/>
    <n v="3031"/>
    <n v="1"/>
    <n v="17"/>
    <n v="3"/>
    <n v="1"/>
    <n v="80"/>
    <n v="0"/>
    <n v="10"/>
    <n v="3"/>
    <n v="10"/>
    <n v="8"/>
    <n v="3"/>
    <n v="7"/>
  </r>
  <r>
    <s v="No"/>
    <s v="Travel_Rarely"/>
    <x v="2"/>
    <s v="Current Employees"/>
    <x v="1"/>
    <x v="0"/>
    <x v="1166"/>
    <x v="1166"/>
    <x v="1"/>
    <x v="2"/>
    <x v="1"/>
    <s v="No"/>
    <s v="Y"/>
    <n v="3"/>
    <n v="-2"/>
    <n v="0"/>
    <x v="4"/>
    <x v="1"/>
    <m/>
    <n v="0"/>
    <n v="1"/>
    <n v="1377"/>
    <n v="11"/>
    <x v="1"/>
    <x v="0"/>
    <n v="2"/>
    <n v="91"/>
    <n v="3"/>
    <n v="1"/>
    <x v="2"/>
    <n v="2099"/>
    <n v="7679"/>
    <n v="0"/>
    <n v="14"/>
    <n v="3"/>
    <n v="2"/>
    <n v="80"/>
    <n v="0"/>
    <n v="6"/>
    <n v="4"/>
    <n v="5"/>
    <n v="0"/>
    <n v="1"/>
    <n v="4"/>
  </r>
  <r>
    <s v="No"/>
    <s v="Travel_Rarely"/>
    <x v="0"/>
    <s v="Current Employees"/>
    <x v="1"/>
    <x v="0"/>
    <x v="1167"/>
    <x v="1167"/>
    <x v="1"/>
    <x v="1"/>
    <x v="1"/>
    <s v="No"/>
    <s v="Y"/>
    <n v="2"/>
    <n v="-2"/>
    <n v="0"/>
    <x v="10"/>
    <x v="1"/>
    <m/>
    <n v="0"/>
    <n v="1"/>
    <n v="819"/>
    <n v="18"/>
    <x v="4"/>
    <x v="0"/>
    <n v="2"/>
    <n v="48"/>
    <n v="4"/>
    <n v="2"/>
    <x v="2"/>
    <n v="5208"/>
    <n v="26312"/>
    <n v="1"/>
    <n v="11"/>
    <n v="3"/>
    <n v="4"/>
    <n v="80"/>
    <n v="0"/>
    <n v="16"/>
    <n v="3"/>
    <n v="16"/>
    <n v="15"/>
    <n v="1"/>
    <n v="10"/>
  </r>
  <r>
    <s v="No"/>
    <s v="Travel_Rarely"/>
    <x v="2"/>
    <s v="Current Employees"/>
    <x v="1"/>
    <x v="2"/>
    <x v="1168"/>
    <x v="1168"/>
    <x v="1"/>
    <x v="2"/>
    <x v="1"/>
    <s v="No"/>
    <s v="Y"/>
    <n v="3"/>
    <n v="-2"/>
    <n v="0"/>
    <x v="13"/>
    <x v="1"/>
    <m/>
    <n v="0"/>
    <n v="1"/>
    <n v="628"/>
    <n v="8"/>
    <x v="3"/>
    <x v="0"/>
    <n v="2"/>
    <n v="82"/>
    <n v="4"/>
    <n v="2"/>
    <x v="2"/>
    <n v="4404"/>
    <n v="10228"/>
    <n v="2"/>
    <n v="12"/>
    <n v="3"/>
    <n v="1"/>
    <n v="80"/>
    <n v="0"/>
    <n v="6"/>
    <n v="4"/>
    <n v="4"/>
    <n v="3"/>
    <n v="1"/>
    <n v="2"/>
  </r>
  <r>
    <s v="No"/>
    <s v="Travel_Rarely"/>
    <x v="1"/>
    <s v="Current Employees"/>
    <x v="1"/>
    <x v="2"/>
    <x v="1169"/>
    <x v="1169"/>
    <x v="1"/>
    <x v="4"/>
    <x v="1"/>
    <s v="No"/>
    <s v="Y"/>
    <n v="2"/>
    <n v="-2"/>
    <n v="0"/>
    <x v="16"/>
    <x v="1"/>
    <m/>
    <n v="0"/>
    <n v="1"/>
    <n v="1395"/>
    <n v="24"/>
    <x v="2"/>
    <x v="0"/>
    <n v="2"/>
    <n v="48"/>
    <n v="4"/>
    <n v="3"/>
    <x v="0"/>
    <n v="7005"/>
    <n v="3458"/>
    <n v="3"/>
    <n v="15"/>
    <n v="3"/>
    <n v="3"/>
    <n v="80"/>
    <n v="0"/>
    <n v="11"/>
    <n v="3"/>
    <n v="4"/>
    <n v="3"/>
    <n v="1"/>
    <n v="2"/>
  </r>
  <r>
    <s v="No"/>
    <s v="Travel_Rarely"/>
    <x v="1"/>
    <s v="Current Employees"/>
    <x v="1"/>
    <x v="0"/>
    <x v="1170"/>
    <x v="1170"/>
    <x v="1"/>
    <x v="7"/>
    <x v="1"/>
    <s v="No"/>
    <s v="Y"/>
    <n v="3"/>
    <n v="-2"/>
    <n v="0"/>
    <x v="26"/>
    <x v="1"/>
    <m/>
    <n v="0"/>
    <n v="1"/>
    <n v="1224"/>
    <n v="10"/>
    <x v="3"/>
    <x v="0"/>
    <n v="4"/>
    <n v="91"/>
    <n v="2"/>
    <n v="5"/>
    <x v="1"/>
    <n v="19665"/>
    <n v="13583"/>
    <n v="4"/>
    <n v="12"/>
    <n v="3"/>
    <n v="4"/>
    <n v="80"/>
    <n v="0"/>
    <n v="29"/>
    <n v="3"/>
    <n v="22"/>
    <n v="10"/>
    <n v="12"/>
    <n v="9"/>
  </r>
  <r>
    <s v="No"/>
    <s v="Travel_Rarely"/>
    <x v="2"/>
    <s v="Current Employees"/>
    <x v="1"/>
    <x v="2"/>
    <x v="1171"/>
    <x v="1171"/>
    <x v="1"/>
    <x v="2"/>
    <x v="1"/>
    <s v="No"/>
    <s v="Y"/>
    <n v="6"/>
    <n v="-2"/>
    <n v="0"/>
    <x v="7"/>
    <x v="1"/>
    <m/>
    <n v="0"/>
    <n v="1"/>
    <n v="911"/>
    <n v="1"/>
    <x v="0"/>
    <x v="0"/>
    <n v="4"/>
    <n v="76"/>
    <n v="3"/>
    <n v="1"/>
    <x v="1"/>
    <n v="3748"/>
    <n v="4077"/>
    <n v="1"/>
    <n v="13"/>
    <n v="3"/>
    <n v="3"/>
    <n v="80"/>
    <n v="0"/>
    <n v="12"/>
    <n v="2"/>
    <n v="12"/>
    <n v="8"/>
    <n v="1"/>
    <n v="7"/>
  </r>
  <r>
    <s v="No"/>
    <s v="Travel_Rarely"/>
    <x v="2"/>
    <s v="Current Employees"/>
    <x v="1"/>
    <x v="0"/>
    <x v="1172"/>
    <x v="1172"/>
    <x v="1"/>
    <x v="4"/>
    <x v="1"/>
    <s v="No"/>
    <s v="Y"/>
    <n v="5"/>
    <n v="-2"/>
    <n v="0"/>
    <x v="11"/>
    <x v="1"/>
    <m/>
    <n v="0"/>
    <n v="1"/>
    <n v="136"/>
    <n v="1"/>
    <x v="3"/>
    <x v="0"/>
    <n v="1"/>
    <n v="89"/>
    <n v="3"/>
    <n v="2"/>
    <x v="2"/>
    <n v="5373"/>
    <n v="6225"/>
    <n v="0"/>
    <n v="12"/>
    <n v="3"/>
    <n v="1"/>
    <n v="80"/>
    <n v="1"/>
    <n v="6"/>
    <n v="2"/>
    <n v="5"/>
    <n v="3"/>
    <n v="0"/>
    <n v="2"/>
  </r>
  <r>
    <s v="No"/>
    <s v="Travel_Rarely"/>
    <x v="1"/>
    <s v="Current Employees"/>
    <x v="1"/>
    <x v="4"/>
    <x v="1173"/>
    <x v="1173"/>
    <x v="1"/>
    <x v="4"/>
    <x v="1"/>
    <s v="No"/>
    <s v="Y"/>
    <n v="0"/>
    <n v="-2"/>
    <n v="0"/>
    <x v="1"/>
    <x v="1"/>
    <m/>
    <n v="0"/>
    <n v="1"/>
    <n v="1495"/>
    <n v="5"/>
    <x v="2"/>
    <x v="0"/>
    <n v="4"/>
    <n v="96"/>
    <n v="3"/>
    <n v="2"/>
    <x v="0"/>
    <n v="6651"/>
    <n v="21534"/>
    <n v="2"/>
    <n v="14"/>
    <n v="3"/>
    <n v="2"/>
    <n v="80"/>
    <n v="1"/>
    <n v="20"/>
    <n v="2"/>
    <n v="3"/>
    <n v="2"/>
    <n v="1"/>
    <n v="2"/>
  </r>
  <r>
    <s v="No"/>
    <s v="Travel_Rarely"/>
    <x v="0"/>
    <s v="Current Employees"/>
    <x v="1"/>
    <x v="0"/>
    <x v="1174"/>
    <x v="1174"/>
    <x v="1"/>
    <x v="4"/>
    <x v="1"/>
    <s v="No"/>
    <s v="Y"/>
    <n v="1"/>
    <n v="-2"/>
    <n v="0"/>
    <x v="23"/>
    <x v="1"/>
    <m/>
    <n v="0"/>
    <n v="1"/>
    <n v="574"/>
    <n v="11"/>
    <x v="3"/>
    <x v="0"/>
    <n v="1"/>
    <n v="30"/>
    <n v="3"/>
    <n v="3"/>
    <x v="2"/>
    <n v="7510"/>
    <n v="16873"/>
    <n v="1"/>
    <n v="17"/>
    <n v="3"/>
    <n v="2"/>
    <n v="80"/>
    <n v="1"/>
    <n v="10"/>
    <n v="3"/>
    <n v="10"/>
    <n v="9"/>
    <n v="0"/>
    <n v="9"/>
  </r>
  <r>
    <s v="No"/>
    <s v="Travel_Rarely"/>
    <x v="2"/>
    <s v="Current Employees"/>
    <x v="1"/>
    <x v="4"/>
    <x v="1175"/>
    <x v="1175"/>
    <x v="1"/>
    <x v="2"/>
    <x v="1"/>
    <s v="No"/>
    <s v="Y"/>
    <n v="2"/>
    <n v="-2"/>
    <n v="0"/>
    <x v="36"/>
    <x v="1"/>
    <m/>
    <n v="0"/>
    <n v="1"/>
    <n v="949"/>
    <n v="1"/>
    <x v="3"/>
    <x v="0"/>
    <n v="4"/>
    <n v="81"/>
    <n v="3"/>
    <n v="1"/>
    <x v="0"/>
    <n v="3229"/>
    <n v="4910"/>
    <n v="4"/>
    <n v="11"/>
    <n v="3"/>
    <n v="2"/>
    <n v="80"/>
    <n v="1"/>
    <n v="7"/>
    <n v="2"/>
    <n v="3"/>
    <n v="2"/>
    <n v="0"/>
    <n v="2"/>
  </r>
  <r>
    <s v="No"/>
    <s v="Travel_Rarely"/>
    <x v="1"/>
    <s v="Current Employees"/>
    <x v="1"/>
    <x v="4"/>
    <x v="1176"/>
    <x v="1176"/>
    <x v="1"/>
    <x v="1"/>
    <x v="1"/>
    <s v="No"/>
    <s v="Y"/>
    <n v="2"/>
    <n v="-2"/>
    <n v="0"/>
    <x v="40"/>
    <x v="1"/>
    <m/>
    <n v="0"/>
    <n v="1"/>
    <n v="465"/>
    <n v="1"/>
    <x v="3"/>
    <x v="0"/>
    <n v="4"/>
    <n v="74"/>
    <n v="3"/>
    <n v="1"/>
    <x v="0"/>
    <n v="3420"/>
    <n v="10205"/>
    <n v="7"/>
    <n v="12"/>
    <n v="3"/>
    <n v="3"/>
    <n v="80"/>
    <n v="1"/>
    <n v="17"/>
    <n v="2"/>
    <n v="6"/>
    <n v="5"/>
    <n v="1"/>
    <n v="2"/>
  </r>
  <r>
    <s v="No"/>
    <s v="Travel_Rarely"/>
    <x v="0"/>
    <s v="Current Employees"/>
    <x v="1"/>
    <x v="2"/>
    <x v="1177"/>
    <x v="1177"/>
    <x v="1"/>
    <x v="2"/>
    <x v="1"/>
    <s v="No"/>
    <s v="Y"/>
    <n v="2"/>
    <n v="-2"/>
    <n v="0"/>
    <x v="10"/>
    <x v="1"/>
    <m/>
    <n v="0"/>
    <n v="1"/>
    <n v="185"/>
    <n v="23"/>
    <x v="2"/>
    <x v="0"/>
    <n v="2"/>
    <n v="91"/>
    <n v="1"/>
    <n v="1"/>
    <x v="2"/>
    <n v="2705"/>
    <n v="9696"/>
    <n v="0"/>
    <n v="16"/>
    <n v="3"/>
    <n v="2"/>
    <n v="80"/>
    <n v="1"/>
    <n v="6"/>
    <n v="4"/>
    <n v="5"/>
    <n v="4"/>
    <n v="0"/>
    <n v="3"/>
  </r>
  <r>
    <s v="No"/>
    <s v="Travel_Rarely"/>
    <x v="2"/>
    <s v="Current Employees"/>
    <x v="1"/>
    <x v="2"/>
    <x v="1178"/>
    <x v="1178"/>
    <x v="1"/>
    <x v="1"/>
    <x v="1"/>
    <s v="No"/>
    <s v="Y"/>
    <n v="3"/>
    <n v="-2"/>
    <n v="0"/>
    <x v="7"/>
    <x v="1"/>
    <m/>
    <n v="0"/>
    <n v="1"/>
    <n v="241"/>
    <n v="7"/>
    <x v="3"/>
    <x v="0"/>
    <n v="2"/>
    <n v="48"/>
    <n v="2"/>
    <n v="1"/>
    <x v="1"/>
    <n v="2141"/>
    <n v="5348"/>
    <n v="1"/>
    <n v="12"/>
    <n v="3"/>
    <n v="2"/>
    <n v="80"/>
    <n v="1"/>
    <n v="6"/>
    <n v="2"/>
    <n v="6"/>
    <n v="4"/>
    <n v="1"/>
    <n v="1"/>
  </r>
  <r>
    <s v="No"/>
    <s v="Travel_Rarely"/>
    <x v="2"/>
    <s v="Current Employees"/>
    <x v="1"/>
    <x v="2"/>
    <x v="1179"/>
    <x v="1179"/>
    <x v="1"/>
    <x v="2"/>
    <x v="1"/>
    <s v="No"/>
    <s v="Y"/>
    <n v="3"/>
    <n v="-2"/>
    <n v="0"/>
    <x v="13"/>
    <x v="1"/>
    <m/>
    <n v="0"/>
    <n v="1"/>
    <n v="1157"/>
    <n v="5"/>
    <x v="0"/>
    <x v="0"/>
    <n v="2"/>
    <n v="57"/>
    <n v="2"/>
    <n v="2"/>
    <x v="0"/>
    <n v="3986"/>
    <n v="11912"/>
    <n v="1"/>
    <n v="14"/>
    <n v="3"/>
    <n v="3"/>
    <n v="80"/>
    <n v="1"/>
    <n v="15"/>
    <n v="4"/>
    <n v="15"/>
    <n v="10"/>
    <n v="4"/>
    <n v="13"/>
  </r>
  <r>
    <s v="No"/>
    <s v="Travel_Rarely"/>
    <x v="2"/>
    <s v="Current Employees"/>
    <x v="1"/>
    <x v="4"/>
    <x v="1180"/>
    <x v="1180"/>
    <x v="1"/>
    <x v="1"/>
    <x v="1"/>
    <s v="No"/>
    <s v="Y"/>
    <n v="3"/>
    <n v="-2"/>
    <n v="0"/>
    <x v="4"/>
    <x v="1"/>
    <m/>
    <n v="0"/>
    <n v="1"/>
    <n v="1354"/>
    <n v="2"/>
    <x v="2"/>
    <x v="0"/>
    <n v="4"/>
    <n v="41"/>
    <n v="3"/>
    <n v="1"/>
    <x v="0"/>
    <n v="2226"/>
    <n v="6073"/>
    <n v="1"/>
    <n v="11"/>
    <n v="3"/>
    <n v="3"/>
    <n v="80"/>
    <n v="1"/>
    <n v="6"/>
    <n v="2"/>
    <n v="5"/>
    <n v="3"/>
    <n v="1"/>
    <n v="2"/>
  </r>
  <r>
    <s v="No"/>
    <s v="Travel_Rarely"/>
    <x v="2"/>
    <s v="Current Employees"/>
    <x v="1"/>
    <x v="0"/>
    <x v="1181"/>
    <x v="1181"/>
    <x v="1"/>
    <x v="2"/>
    <x v="1"/>
    <s v="No"/>
    <s v="Y"/>
    <n v="2"/>
    <n v="-2"/>
    <n v="0"/>
    <x v="12"/>
    <x v="1"/>
    <m/>
    <n v="0"/>
    <n v="1"/>
    <n v="741"/>
    <n v="2"/>
    <x v="2"/>
    <x v="0"/>
    <n v="2"/>
    <n v="69"/>
    <n v="3"/>
    <n v="1"/>
    <x v="2"/>
    <n v="3477"/>
    <n v="18103"/>
    <n v="1"/>
    <n v="14"/>
    <n v="3"/>
    <n v="4"/>
    <n v="80"/>
    <n v="1"/>
    <n v="6"/>
    <n v="4"/>
    <n v="5"/>
    <n v="2"/>
    <n v="0"/>
    <n v="3"/>
  </r>
  <r>
    <s v="No"/>
    <s v="Travel_Rarely"/>
    <x v="2"/>
    <s v="Current Employees"/>
    <x v="1"/>
    <x v="0"/>
    <x v="1182"/>
    <x v="1182"/>
    <x v="1"/>
    <x v="1"/>
    <x v="1"/>
    <s v="No"/>
    <s v="Y"/>
    <n v="2"/>
    <n v="-2"/>
    <n v="0"/>
    <x v="7"/>
    <x v="1"/>
    <m/>
    <n v="0"/>
    <n v="1"/>
    <n v="793"/>
    <n v="16"/>
    <x v="1"/>
    <x v="0"/>
    <n v="2"/>
    <n v="33"/>
    <n v="3"/>
    <n v="1"/>
    <x v="0"/>
    <n v="2862"/>
    <n v="3811"/>
    <n v="1"/>
    <n v="12"/>
    <n v="3"/>
    <n v="2"/>
    <n v="80"/>
    <n v="1"/>
    <n v="10"/>
    <n v="2"/>
    <n v="10"/>
    <n v="0"/>
    <n v="0"/>
    <n v="8"/>
  </r>
  <r>
    <s v="No"/>
    <s v="Travel_Rarely"/>
    <x v="2"/>
    <s v="Current Employees"/>
    <x v="1"/>
    <x v="0"/>
    <x v="1183"/>
    <x v="1183"/>
    <x v="1"/>
    <x v="1"/>
    <x v="1"/>
    <s v="No"/>
    <s v="Y"/>
    <n v="3"/>
    <n v="-2"/>
    <n v="0"/>
    <x v="13"/>
    <x v="1"/>
    <m/>
    <n v="0"/>
    <n v="1"/>
    <n v="1351"/>
    <n v="1"/>
    <x v="2"/>
    <x v="0"/>
    <n v="2"/>
    <n v="45"/>
    <n v="3"/>
    <n v="2"/>
    <x v="0"/>
    <n v="5484"/>
    <n v="13008"/>
    <n v="9"/>
    <n v="17"/>
    <n v="3"/>
    <n v="2"/>
    <n v="80"/>
    <n v="1"/>
    <n v="9"/>
    <n v="2"/>
    <n v="2"/>
    <n v="2"/>
    <n v="2"/>
    <n v="1"/>
  </r>
  <r>
    <s v="No"/>
    <s v="Travel_Rarely"/>
    <x v="0"/>
    <s v="Current Employees"/>
    <x v="1"/>
    <x v="0"/>
    <x v="1184"/>
    <x v="1184"/>
    <x v="1"/>
    <x v="4"/>
    <x v="1"/>
    <s v="No"/>
    <s v="Y"/>
    <n v="5"/>
    <n v="-2"/>
    <n v="0"/>
    <x v="20"/>
    <x v="1"/>
    <m/>
    <n v="0"/>
    <n v="1"/>
    <n v="170"/>
    <n v="1"/>
    <x v="2"/>
    <x v="0"/>
    <n v="2"/>
    <n v="78"/>
    <n v="4"/>
    <n v="2"/>
    <x v="2"/>
    <n v="5033"/>
    <n v="9364"/>
    <n v="2"/>
    <n v="15"/>
    <n v="3"/>
    <n v="4"/>
    <n v="80"/>
    <n v="1"/>
    <n v="10"/>
    <n v="3"/>
    <n v="2"/>
    <n v="0"/>
    <n v="2"/>
    <n v="2"/>
  </r>
  <r>
    <s v="No"/>
    <s v="Travel_Rarely"/>
    <x v="0"/>
    <s v="Current Employees"/>
    <x v="1"/>
    <x v="2"/>
    <x v="1185"/>
    <x v="1185"/>
    <x v="1"/>
    <x v="2"/>
    <x v="1"/>
    <s v="No"/>
    <s v="Y"/>
    <n v="3"/>
    <n v="-2"/>
    <n v="0"/>
    <x v="19"/>
    <x v="1"/>
    <m/>
    <n v="0"/>
    <n v="1"/>
    <n v="1210"/>
    <n v="2"/>
    <x v="3"/>
    <x v="0"/>
    <n v="3"/>
    <n v="68"/>
    <n v="2"/>
    <n v="1"/>
    <x v="1"/>
    <n v="4841"/>
    <n v="24052"/>
    <n v="4"/>
    <n v="14"/>
    <n v="3"/>
    <n v="2"/>
    <n v="80"/>
    <n v="1"/>
    <n v="4"/>
    <n v="3"/>
    <n v="1"/>
    <n v="0"/>
    <n v="0"/>
    <n v="0"/>
  </r>
  <r>
    <s v="No"/>
    <s v="Travel_Rarely"/>
    <x v="0"/>
    <s v="Current Employees"/>
    <x v="1"/>
    <x v="0"/>
    <x v="1186"/>
    <x v="1186"/>
    <x v="1"/>
    <x v="2"/>
    <x v="1"/>
    <s v="No"/>
    <s v="Y"/>
    <n v="5"/>
    <n v="-2"/>
    <n v="0"/>
    <x v="10"/>
    <x v="1"/>
    <m/>
    <n v="0"/>
    <n v="1"/>
    <n v="1349"/>
    <n v="7"/>
    <x v="0"/>
    <x v="0"/>
    <n v="3"/>
    <n v="63"/>
    <n v="2"/>
    <n v="1"/>
    <x v="0"/>
    <n v="2690"/>
    <n v="7713"/>
    <n v="1"/>
    <n v="18"/>
    <n v="3"/>
    <n v="4"/>
    <n v="80"/>
    <n v="1"/>
    <n v="1"/>
    <n v="2"/>
    <n v="1"/>
    <n v="0"/>
    <n v="0"/>
    <n v="1"/>
  </r>
  <r>
    <s v="No"/>
    <s v="Travel_Rarely"/>
    <x v="0"/>
    <s v="Current Employees"/>
    <x v="1"/>
    <x v="2"/>
    <x v="1187"/>
    <x v="1187"/>
    <x v="1"/>
    <x v="7"/>
    <x v="1"/>
    <s v="No"/>
    <s v="Y"/>
    <n v="3"/>
    <n v="-2"/>
    <n v="0"/>
    <x v="19"/>
    <x v="1"/>
    <m/>
    <n v="0"/>
    <n v="1"/>
    <n v="1396"/>
    <n v="6"/>
    <x v="3"/>
    <x v="0"/>
    <n v="3"/>
    <n v="83"/>
    <n v="3"/>
    <n v="3"/>
    <x v="2"/>
    <n v="13348"/>
    <n v="14842"/>
    <n v="9"/>
    <n v="13"/>
    <n v="3"/>
    <n v="2"/>
    <n v="80"/>
    <n v="1"/>
    <n v="18"/>
    <n v="4"/>
    <n v="13"/>
    <n v="7"/>
    <n v="5"/>
    <n v="7"/>
  </r>
  <r>
    <s v="No"/>
    <s v="Travel_Rarely"/>
    <x v="2"/>
    <s v="Current Employees"/>
    <x v="1"/>
    <x v="0"/>
    <x v="1188"/>
    <x v="1188"/>
    <x v="1"/>
    <x v="1"/>
    <x v="1"/>
    <s v="No"/>
    <s v="Y"/>
    <n v="6"/>
    <n v="-2"/>
    <n v="0"/>
    <x v="14"/>
    <x v="1"/>
    <m/>
    <n v="0"/>
    <n v="1"/>
    <n v="1181"/>
    <n v="1"/>
    <x v="3"/>
    <x v="0"/>
    <n v="3"/>
    <n v="82"/>
    <n v="3"/>
    <n v="1"/>
    <x v="0"/>
    <n v="2044"/>
    <n v="5531"/>
    <n v="1"/>
    <n v="11"/>
    <n v="3"/>
    <n v="3"/>
    <n v="80"/>
    <n v="1"/>
    <n v="5"/>
    <n v="4"/>
    <n v="5"/>
    <n v="3"/>
    <n v="0"/>
    <n v="3"/>
  </r>
  <r>
    <s v="No"/>
    <s v="Travel_Rarely"/>
    <x v="2"/>
    <s v="Current Employees"/>
    <x v="1"/>
    <x v="0"/>
    <x v="1189"/>
    <x v="1189"/>
    <x v="1"/>
    <x v="4"/>
    <x v="1"/>
    <s v="No"/>
    <s v="Y"/>
    <n v="3"/>
    <n v="-2"/>
    <n v="0"/>
    <x v="7"/>
    <x v="1"/>
    <m/>
    <n v="0"/>
    <n v="1"/>
    <n v="305"/>
    <n v="16"/>
    <x v="3"/>
    <x v="0"/>
    <n v="3"/>
    <n v="58"/>
    <n v="4"/>
    <n v="2"/>
    <x v="2"/>
    <n v="5294"/>
    <n v="9128"/>
    <n v="3"/>
    <n v="16"/>
    <n v="3"/>
    <n v="3"/>
    <n v="80"/>
    <n v="1"/>
    <n v="10"/>
    <n v="3"/>
    <n v="7"/>
    <n v="0"/>
    <n v="1"/>
    <n v="7"/>
  </r>
  <r>
    <s v="No"/>
    <s v="Travel_Rarely"/>
    <x v="4"/>
    <s v="Current Employees"/>
    <x v="1"/>
    <x v="2"/>
    <x v="1190"/>
    <x v="1190"/>
    <x v="1"/>
    <x v="1"/>
    <x v="1"/>
    <s v="No"/>
    <s v="Y"/>
    <n v="1"/>
    <n v="-2"/>
    <n v="0"/>
    <x v="17"/>
    <x v="1"/>
    <m/>
    <n v="0"/>
    <n v="1"/>
    <n v="581"/>
    <n v="9"/>
    <x v="3"/>
    <x v="0"/>
    <n v="3"/>
    <n v="62"/>
    <n v="4"/>
    <n v="1"/>
    <x v="2"/>
    <n v="4401"/>
    <n v="17616"/>
    <n v="1"/>
    <n v="16"/>
    <n v="3"/>
    <n v="4"/>
    <n v="80"/>
    <n v="1"/>
    <n v="5"/>
    <n v="3"/>
    <n v="5"/>
    <n v="3"/>
    <n v="0"/>
    <n v="4"/>
  </r>
  <r>
    <s v="No"/>
    <s v="Travel_Rarely"/>
    <x v="0"/>
    <s v="Current Employees"/>
    <x v="1"/>
    <x v="2"/>
    <x v="1191"/>
    <x v="1191"/>
    <x v="1"/>
    <x v="4"/>
    <x v="1"/>
    <s v="No"/>
    <s v="Y"/>
    <n v="5"/>
    <n v="-2"/>
    <n v="0"/>
    <x v="22"/>
    <x v="1"/>
    <m/>
    <n v="0"/>
    <n v="1"/>
    <n v="613"/>
    <n v="6"/>
    <x v="1"/>
    <x v="0"/>
    <n v="4"/>
    <n v="42"/>
    <n v="2"/>
    <n v="3"/>
    <x v="2"/>
    <n v="9991"/>
    <n v="21457"/>
    <n v="4"/>
    <n v="15"/>
    <n v="3"/>
    <n v="1"/>
    <n v="80"/>
    <n v="1"/>
    <n v="9"/>
    <n v="3"/>
    <n v="7"/>
    <n v="7"/>
    <n v="1"/>
    <n v="7"/>
  </r>
  <r>
    <s v="No"/>
    <s v="Travel_Rarely"/>
    <x v="0"/>
    <s v="Current Employees"/>
    <x v="1"/>
    <x v="0"/>
    <x v="1192"/>
    <x v="1192"/>
    <x v="1"/>
    <x v="7"/>
    <x v="1"/>
    <s v="No"/>
    <s v="Y"/>
    <n v="1"/>
    <n v="-2"/>
    <n v="0"/>
    <x v="20"/>
    <x v="1"/>
    <m/>
    <n v="0"/>
    <n v="1"/>
    <n v="136"/>
    <n v="28"/>
    <x v="3"/>
    <x v="0"/>
    <n v="4"/>
    <n v="32"/>
    <n v="3"/>
    <n v="4"/>
    <x v="2"/>
    <n v="16328"/>
    <n v="22074"/>
    <n v="3"/>
    <n v="13"/>
    <n v="3"/>
    <n v="3"/>
    <n v="80"/>
    <n v="1"/>
    <n v="24"/>
    <n v="4"/>
    <n v="20"/>
    <n v="6"/>
    <n v="14"/>
    <n v="17"/>
  </r>
  <r>
    <s v="No"/>
    <s v="Travel_Rarely"/>
    <x v="0"/>
    <s v="Current Employees"/>
    <x v="1"/>
    <x v="0"/>
    <x v="1193"/>
    <x v="1193"/>
    <x v="1"/>
    <x v="3"/>
    <x v="1"/>
    <s v="No"/>
    <s v="Y"/>
    <n v="3"/>
    <n v="-2"/>
    <n v="0"/>
    <x v="10"/>
    <x v="1"/>
    <m/>
    <n v="0"/>
    <n v="1"/>
    <n v="1370"/>
    <n v="27"/>
    <x v="2"/>
    <x v="0"/>
    <n v="4"/>
    <n v="49"/>
    <n v="3"/>
    <n v="2"/>
    <x v="2"/>
    <n v="6883"/>
    <n v="5151"/>
    <n v="2"/>
    <n v="16"/>
    <n v="3"/>
    <n v="2"/>
    <n v="80"/>
    <n v="1"/>
    <n v="17"/>
    <n v="3"/>
    <n v="7"/>
    <n v="7"/>
    <n v="0"/>
    <n v="7"/>
  </r>
  <r>
    <s v="No"/>
    <s v="Travel_Rarely"/>
    <x v="2"/>
    <s v="Current Employees"/>
    <x v="1"/>
    <x v="0"/>
    <x v="1194"/>
    <x v="1194"/>
    <x v="1"/>
    <x v="1"/>
    <x v="1"/>
    <s v="No"/>
    <s v="Y"/>
    <n v="1"/>
    <n v="-2"/>
    <n v="0"/>
    <x v="3"/>
    <x v="1"/>
    <m/>
    <n v="0"/>
    <n v="1"/>
    <n v="867"/>
    <n v="8"/>
    <x v="2"/>
    <x v="0"/>
    <n v="4"/>
    <n v="90"/>
    <n v="4"/>
    <n v="1"/>
    <x v="2"/>
    <n v="3143"/>
    <n v="6076"/>
    <n v="6"/>
    <n v="19"/>
    <n v="3"/>
    <n v="2"/>
    <n v="80"/>
    <n v="1"/>
    <n v="14"/>
    <n v="3"/>
    <n v="10"/>
    <n v="8"/>
    <n v="7"/>
    <n v="6"/>
  </r>
  <r>
    <s v="No"/>
    <s v="Travel_Rarely"/>
    <x v="4"/>
    <s v="Current Employees"/>
    <x v="1"/>
    <x v="4"/>
    <x v="1195"/>
    <x v="1195"/>
    <x v="1"/>
    <x v="1"/>
    <x v="1"/>
    <s v="No"/>
    <s v="Y"/>
    <n v="2"/>
    <n v="-2"/>
    <n v="0"/>
    <x v="30"/>
    <x v="1"/>
    <m/>
    <n v="0"/>
    <n v="1"/>
    <n v="977"/>
    <n v="10"/>
    <x v="3"/>
    <x v="0"/>
    <n v="4"/>
    <n v="45"/>
    <n v="4"/>
    <n v="1"/>
    <x v="0"/>
    <n v="2073"/>
    <n v="12826"/>
    <n v="2"/>
    <n v="16"/>
    <n v="3"/>
    <n v="4"/>
    <n v="80"/>
    <n v="1"/>
    <n v="4"/>
    <n v="3"/>
    <n v="2"/>
    <n v="2"/>
    <n v="2"/>
    <n v="2"/>
  </r>
  <r>
    <s v="No"/>
    <s v="Travel_Rarely"/>
    <x v="0"/>
    <s v="Current Employees"/>
    <x v="1"/>
    <x v="0"/>
    <x v="1196"/>
    <x v="1196"/>
    <x v="1"/>
    <x v="4"/>
    <x v="1"/>
    <s v="No"/>
    <s v="Y"/>
    <n v="2"/>
    <n v="-2"/>
    <n v="0"/>
    <x v="9"/>
    <x v="1"/>
    <m/>
    <n v="0"/>
    <n v="1"/>
    <n v="1351"/>
    <n v="26"/>
    <x v="2"/>
    <x v="0"/>
    <n v="1"/>
    <n v="80"/>
    <n v="3"/>
    <n v="2"/>
    <x v="2"/>
    <n v="5347"/>
    <n v="7419"/>
    <n v="6"/>
    <n v="14"/>
    <n v="3"/>
    <n v="2"/>
    <n v="80"/>
    <n v="2"/>
    <n v="10"/>
    <n v="2"/>
    <n v="3"/>
    <n v="2"/>
    <n v="0"/>
    <n v="2"/>
  </r>
  <r>
    <s v="No"/>
    <s v="Travel_Rarely"/>
    <x v="0"/>
    <s v="Current Employees"/>
    <x v="1"/>
    <x v="0"/>
    <x v="1197"/>
    <x v="1197"/>
    <x v="1"/>
    <x v="2"/>
    <x v="1"/>
    <s v="No"/>
    <s v="Y"/>
    <n v="3"/>
    <n v="-2"/>
    <n v="0"/>
    <x v="32"/>
    <x v="1"/>
    <m/>
    <n v="0"/>
    <n v="1"/>
    <n v="543"/>
    <n v="1"/>
    <x v="2"/>
    <x v="0"/>
    <n v="1"/>
    <n v="83"/>
    <n v="3"/>
    <n v="1"/>
    <x v="0"/>
    <n v="2406"/>
    <n v="4060"/>
    <n v="8"/>
    <n v="19"/>
    <n v="3"/>
    <n v="3"/>
    <n v="80"/>
    <n v="2"/>
    <n v="8"/>
    <n v="2"/>
    <n v="1"/>
    <n v="0"/>
    <n v="0"/>
    <n v="0"/>
  </r>
  <r>
    <s v="No"/>
    <s v="Travel_Rarely"/>
    <x v="0"/>
    <s v="Current Employees"/>
    <x v="1"/>
    <x v="2"/>
    <x v="1198"/>
    <x v="1198"/>
    <x v="1"/>
    <x v="4"/>
    <x v="1"/>
    <s v="No"/>
    <s v="Y"/>
    <n v="2"/>
    <n v="-2"/>
    <n v="0"/>
    <x v="19"/>
    <x v="1"/>
    <m/>
    <n v="0"/>
    <n v="1"/>
    <n v="1128"/>
    <n v="13"/>
    <x v="3"/>
    <x v="0"/>
    <n v="2"/>
    <n v="95"/>
    <n v="4"/>
    <n v="2"/>
    <x v="2"/>
    <n v="5538"/>
    <n v="5696"/>
    <n v="5"/>
    <n v="18"/>
    <n v="3"/>
    <n v="3"/>
    <n v="80"/>
    <n v="2"/>
    <n v="10"/>
    <n v="2"/>
    <n v="0"/>
    <n v="0"/>
    <n v="0"/>
    <n v="0"/>
  </r>
  <r>
    <s v="No"/>
    <s v="Travel_Rarely"/>
    <x v="0"/>
    <s v="Current Employees"/>
    <x v="1"/>
    <x v="0"/>
    <x v="1199"/>
    <x v="1199"/>
    <x v="1"/>
    <x v="2"/>
    <x v="1"/>
    <s v="No"/>
    <s v="Y"/>
    <n v="3"/>
    <n v="-2"/>
    <n v="0"/>
    <x v="10"/>
    <x v="1"/>
    <m/>
    <n v="0"/>
    <n v="1"/>
    <n v="750"/>
    <n v="28"/>
    <x v="3"/>
    <x v="0"/>
    <n v="2"/>
    <n v="46"/>
    <n v="4"/>
    <n v="2"/>
    <x v="2"/>
    <n v="3407"/>
    <n v="25348"/>
    <n v="1"/>
    <n v="17"/>
    <n v="3"/>
    <n v="4"/>
    <n v="80"/>
    <n v="2"/>
    <n v="10"/>
    <n v="2"/>
    <n v="10"/>
    <n v="9"/>
    <n v="6"/>
    <n v="8"/>
  </r>
  <r>
    <s v="No"/>
    <s v="Travel_Rarely"/>
    <x v="2"/>
    <s v="Current Employees"/>
    <x v="1"/>
    <x v="0"/>
    <x v="1200"/>
    <x v="1200"/>
    <x v="1"/>
    <x v="3"/>
    <x v="1"/>
    <s v="No"/>
    <s v="Y"/>
    <n v="2"/>
    <n v="-2"/>
    <n v="0"/>
    <x v="14"/>
    <x v="1"/>
    <m/>
    <n v="0"/>
    <n v="1"/>
    <n v="1083"/>
    <n v="29"/>
    <x v="1"/>
    <x v="0"/>
    <n v="3"/>
    <n v="96"/>
    <n v="1"/>
    <n v="2"/>
    <x v="1"/>
    <n v="6549"/>
    <n v="3173"/>
    <n v="1"/>
    <n v="14"/>
    <n v="3"/>
    <n v="2"/>
    <n v="80"/>
    <n v="2"/>
    <n v="8"/>
    <n v="2"/>
    <n v="8"/>
    <n v="6"/>
    <n v="1"/>
    <n v="7"/>
  </r>
  <r>
    <s v="No"/>
    <s v="Travel_Rarely"/>
    <x v="2"/>
    <s v="Current Employees"/>
    <x v="1"/>
    <x v="0"/>
    <x v="1201"/>
    <x v="1201"/>
    <x v="1"/>
    <x v="1"/>
    <x v="1"/>
    <s v="No"/>
    <s v="Y"/>
    <n v="2"/>
    <n v="-2"/>
    <n v="0"/>
    <x v="11"/>
    <x v="1"/>
    <m/>
    <n v="0"/>
    <n v="1"/>
    <n v="598"/>
    <n v="9"/>
    <x v="3"/>
    <x v="0"/>
    <n v="3"/>
    <n v="91"/>
    <n v="4"/>
    <n v="1"/>
    <x v="2"/>
    <n v="2451"/>
    <n v="22376"/>
    <n v="6"/>
    <n v="18"/>
    <n v="3"/>
    <n v="1"/>
    <n v="80"/>
    <n v="2"/>
    <n v="5"/>
    <n v="2"/>
    <n v="1"/>
    <n v="0"/>
    <n v="0"/>
    <n v="0"/>
  </r>
  <r>
    <s v="No"/>
    <s v="Travel_Rarely"/>
    <x v="0"/>
    <s v="Current Employees"/>
    <x v="1"/>
    <x v="2"/>
    <x v="1202"/>
    <x v="1202"/>
    <x v="1"/>
    <x v="3"/>
    <x v="1"/>
    <s v="No"/>
    <s v="Y"/>
    <n v="3"/>
    <n v="-2"/>
    <n v="0"/>
    <x v="22"/>
    <x v="1"/>
    <m/>
    <n v="0"/>
    <n v="1"/>
    <n v="1387"/>
    <n v="10"/>
    <x v="4"/>
    <x v="0"/>
    <n v="2"/>
    <n v="76"/>
    <n v="3"/>
    <n v="2"/>
    <x v="3"/>
    <n v="5377"/>
    <n v="3835"/>
    <n v="2"/>
    <n v="13"/>
    <n v="3"/>
    <n v="4"/>
    <n v="80"/>
    <n v="3"/>
    <n v="10"/>
    <n v="3"/>
    <n v="7"/>
    <n v="7"/>
    <n v="7"/>
    <n v="7"/>
  </r>
  <r>
    <s v="No"/>
    <s v="Travel_Rarely"/>
    <x v="2"/>
    <s v="Current Employees"/>
    <x v="1"/>
    <x v="2"/>
    <x v="1203"/>
    <x v="1203"/>
    <x v="1"/>
    <x v="2"/>
    <x v="1"/>
    <s v="No"/>
    <s v="Y"/>
    <n v="6"/>
    <n v="-2"/>
    <n v="0"/>
    <x v="3"/>
    <x v="1"/>
    <m/>
    <n v="0"/>
    <n v="1"/>
    <n v="267"/>
    <n v="21"/>
    <x v="3"/>
    <x v="0"/>
    <n v="2"/>
    <n v="79"/>
    <n v="4"/>
    <n v="1"/>
    <x v="1"/>
    <n v="2028"/>
    <n v="13637"/>
    <n v="1"/>
    <n v="18"/>
    <n v="3"/>
    <n v="4"/>
    <n v="80"/>
    <n v="3"/>
    <n v="14"/>
    <n v="3"/>
    <n v="14"/>
    <n v="11"/>
    <n v="2"/>
    <n v="13"/>
  </r>
  <r>
    <s v="No"/>
    <s v="Travel_Rarely"/>
    <x v="3"/>
    <s v="Current Employees"/>
    <x v="1"/>
    <x v="2"/>
    <x v="1204"/>
    <x v="1204"/>
    <x v="1"/>
    <x v="7"/>
    <x v="1"/>
    <s v="No"/>
    <s v="Y"/>
    <n v="2"/>
    <n v="-2"/>
    <n v="0"/>
    <x v="27"/>
    <x v="1"/>
    <m/>
    <n v="0"/>
    <n v="1"/>
    <n v="478"/>
    <n v="2"/>
    <x v="3"/>
    <x v="0"/>
    <n v="3"/>
    <n v="60"/>
    <n v="2"/>
    <n v="5"/>
    <x v="3"/>
    <n v="19038"/>
    <n v="19805"/>
    <n v="8"/>
    <n v="12"/>
    <n v="3"/>
    <n v="2"/>
    <n v="80"/>
    <n v="3"/>
    <n v="34"/>
    <n v="3"/>
    <n v="1"/>
    <n v="0"/>
    <n v="0"/>
    <n v="0"/>
  </r>
  <r>
    <s v="No"/>
    <s v="Travel_Rarely"/>
    <x v="0"/>
    <s v="Current Employees"/>
    <x v="1"/>
    <x v="0"/>
    <x v="1205"/>
    <x v="1205"/>
    <x v="1"/>
    <x v="3"/>
    <x v="1"/>
    <s v="No"/>
    <s v="Y"/>
    <n v="2"/>
    <n v="-2"/>
    <n v="0"/>
    <x v="2"/>
    <x v="1"/>
    <m/>
    <n v="0"/>
    <n v="1"/>
    <n v="671"/>
    <n v="19"/>
    <x v="3"/>
    <x v="0"/>
    <n v="3"/>
    <n v="85"/>
    <n v="3"/>
    <n v="2"/>
    <x v="2"/>
    <n v="5768"/>
    <n v="26493"/>
    <n v="3"/>
    <n v="17"/>
    <n v="3"/>
    <n v="1"/>
    <n v="80"/>
    <n v="3"/>
    <n v="9"/>
    <n v="2"/>
    <n v="4"/>
    <n v="3"/>
    <n v="0"/>
    <n v="2"/>
  </r>
  <r>
    <s v="No"/>
    <s v="Travel_Rarely"/>
    <x v="2"/>
    <s v="Current Employees"/>
    <x v="1"/>
    <x v="2"/>
    <x v="1206"/>
    <x v="1206"/>
    <x v="1"/>
    <x v="2"/>
    <x v="1"/>
    <s v="No"/>
    <s v="Y"/>
    <n v="3"/>
    <n v="-2"/>
    <n v="0"/>
    <x v="25"/>
    <x v="1"/>
    <m/>
    <n v="0"/>
    <n v="1"/>
    <n v="390"/>
    <n v="17"/>
    <x v="2"/>
    <x v="0"/>
    <n v="4"/>
    <n v="62"/>
    <n v="1"/>
    <n v="1"/>
    <x v="2"/>
    <n v="2305"/>
    <n v="6217"/>
    <n v="1"/>
    <n v="15"/>
    <n v="3"/>
    <n v="3"/>
    <n v="80"/>
    <n v="3"/>
    <n v="3"/>
    <n v="4"/>
    <n v="3"/>
    <n v="2"/>
    <n v="0"/>
    <n v="2"/>
  </r>
  <r>
    <s v="No"/>
    <s v="Travel_Rarely"/>
    <x v="0"/>
    <s v="Current Employees"/>
    <x v="1"/>
    <x v="0"/>
    <x v="1207"/>
    <x v="1207"/>
    <x v="1"/>
    <x v="2"/>
    <x v="0"/>
    <s v="No"/>
    <s v="Y"/>
    <n v="2"/>
    <n v="-2"/>
    <n v="0"/>
    <x v="9"/>
    <x v="1"/>
    <m/>
    <n v="0"/>
    <n v="1"/>
    <n v="172"/>
    <n v="4"/>
    <x v="2"/>
    <x v="0"/>
    <n v="1"/>
    <n v="37"/>
    <n v="2"/>
    <n v="2"/>
    <x v="0"/>
    <n v="5810"/>
    <n v="22604"/>
    <n v="1"/>
    <n v="16"/>
    <n v="3"/>
    <n v="3"/>
    <n v="80"/>
    <n v="0"/>
    <n v="10"/>
    <n v="2"/>
    <n v="10"/>
    <n v="4"/>
    <n v="1"/>
    <n v="8"/>
  </r>
  <r>
    <s v="No"/>
    <s v="Travel_Rarely"/>
    <x v="0"/>
    <s v="Current Employees"/>
    <x v="1"/>
    <x v="0"/>
    <x v="1208"/>
    <x v="1208"/>
    <x v="1"/>
    <x v="2"/>
    <x v="0"/>
    <s v="No"/>
    <s v="Y"/>
    <n v="4"/>
    <n v="-2"/>
    <n v="0"/>
    <x v="9"/>
    <x v="1"/>
    <m/>
    <n v="0"/>
    <n v="1"/>
    <n v="311"/>
    <n v="7"/>
    <x v="3"/>
    <x v="0"/>
    <n v="1"/>
    <n v="77"/>
    <n v="3"/>
    <n v="1"/>
    <x v="1"/>
    <n v="2013"/>
    <n v="10950"/>
    <n v="2"/>
    <n v="11"/>
    <n v="3"/>
    <n v="3"/>
    <n v="80"/>
    <n v="0"/>
    <n v="15"/>
    <n v="3"/>
    <n v="4"/>
    <n v="3"/>
    <n v="1"/>
    <n v="3"/>
  </r>
  <r>
    <s v="No"/>
    <s v="Travel_Rarely"/>
    <x v="4"/>
    <s v="Current Employees"/>
    <x v="1"/>
    <x v="0"/>
    <x v="1209"/>
    <x v="1209"/>
    <x v="1"/>
    <x v="2"/>
    <x v="0"/>
    <s v="No"/>
    <s v="Y"/>
    <n v="2"/>
    <n v="-2"/>
    <n v="0"/>
    <x v="30"/>
    <x v="1"/>
    <m/>
    <n v="0"/>
    <n v="1"/>
    <n v="507"/>
    <n v="20"/>
    <x v="1"/>
    <x v="0"/>
    <n v="1"/>
    <n v="97"/>
    <n v="3"/>
    <n v="2"/>
    <x v="2"/>
    <n v="2272"/>
    <n v="24812"/>
    <n v="0"/>
    <n v="14"/>
    <n v="3"/>
    <n v="2"/>
    <n v="80"/>
    <n v="0"/>
    <n v="5"/>
    <n v="3"/>
    <n v="4"/>
    <n v="3"/>
    <n v="1"/>
    <n v="2"/>
  </r>
  <r>
    <s v="No"/>
    <s v="Travel_Rarely"/>
    <x v="2"/>
    <s v="Current Employees"/>
    <x v="1"/>
    <x v="2"/>
    <x v="1210"/>
    <x v="1210"/>
    <x v="1"/>
    <x v="1"/>
    <x v="0"/>
    <s v="No"/>
    <s v="Y"/>
    <n v="4"/>
    <n v="-2"/>
    <n v="0"/>
    <x v="13"/>
    <x v="1"/>
    <m/>
    <n v="0"/>
    <n v="1"/>
    <n v="479"/>
    <n v="7"/>
    <x v="2"/>
    <x v="0"/>
    <n v="1"/>
    <n v="35"/>
    <n v="3"/>
    <n v="1"/>
    <x v="0"/>
    <n v="2972"/>
    <n v="22061"/>
    <n v="1"/>
    <n v="13"/>
    <n v="3"/>
    <n v="3"/>
    <n v="80"/>
    <n v="0"/>
    <n v="1"/>
    <n v="1"/>
    <n v="1"/>
    <n v="0"/>
    <n v="0"/>
    <n v="0"/>
  </r>
  <r>
    <s v="No"/>
    <s v="Travel_Rarely"/>
    <x v="0"/>
    <s v="Current Employees"/>
    <x v="1"/>
    <x v="0"/>
    <x v="1211"/>
    <x v="1211"/>
    <x v="1"/>
    <x v="1"/>
    <x v="0"/>
    <s v="No"/>
    <s v="Y"/>
    <n v="2"/>
    <n v="-2"/>
    <n v="0"/>
    <x v="22"/>
    <x v="1"/>
    <m/>
    <n v="0"/>
    <n v="1"/>
    <n v="116"/>
    <n v="24"/>
    <x v="1"/>
    <x v="0"/>
    <n v="1"/>
    <n v="52"/>
    <n v="3"/>
    <n v="2"/>
    <x v="0"/>
    <n v="4108"/>
    <n v="5340"/>
    <n v="7"/>
    <n v="13"/>
    <n v="3"/>
    <n v="1"/>
    <n v="80"/>
    <n v="0"/>
    <n v="18"/>
    <n v="3"/>
    <n v="7"/>
    <n v="7"/>
    <n v="1"/>
    <n v="7"/>
  </r>
  <r>
    <s v="No"/>
    <s v="Travel_Rarely"/>
    <x v="4"/>
    <s v="Current Employees"/>
    <x v="1"/>
    <x v="0"/>
    <x v="1212"/>
    <x v="1212"/>
    <x v="1"/>
    <x v="4"/>
    <x v="0"/>
    <s v="No"/>
    <s v="Y"/>
    <n v="2"/>
    <n v="-2"/>
    <n v="0"/>
    <x v="17"/>
    <x v="1"/>
    <m/>
    <n v="0"/>
    <n v="1"/>
    <n v="771"/>
    <n v="1"/>
    <x v="0"/>
    <x v="0"/>
    <n v="2"/>
    <n v="45"/>
    <n v="2"/>
    <n v="2"/>
    <x v="2"/>
    <n v="4617"/>
    <n v="14120"/>
    <n v="1"/>
    <n v="12"/>
    <n v="3"/>
    <n v="2"/>
    <n v="80"/>
    <n v="0"/>
    <n v="4"/>
    <n v="2"/>
    <n v="4"/>
    <n v="3"/>
    <n v="1"/>
    <n v="2"/>
  </r>
  <r>
    <s v="No"/>
    <s v="Travel_Rarely"/>
    <x v="0"/>
    <s v="Current Employees"/>
    <x v="1"/>
    <x v="2"/>
    <x v="1213"/>
    <x v="1213"/>
    <x v="1"/>
    <x v="1"/>
    <x v="0"/>
    <s v="No"/>
    <s v="Y"/>
    <n v="5"/>
    <n v="-2"/>
    <n v="0"/>
    <x v="10"/>
    <x v="1"/>
    <m/>
    <n v="0"/>
    <n v="1"/>
    <n v="1395"/>
    <n v="9"/>
    <x v="2"/>
    <x v="0"/>
    <n v="2"/>
    <n v="48"/>
    <n v="3"/>
    <n v="2"/>
    <x v="2"/>
    <n v="5098"/>
    <n v="18698"/>
    <n v="1"/>
    <n v="19"/>
    <n v="3"/>
    <n v="2"/>
    <n v="80"/>
    <n v="0"/>
    <n v="10"/>
    <n v="3"/>
    <n v="10"/>
    <n v="7"/>
    <n v="0"/>
    <n v="8"/>
  </r>
  <r>
    <s v="No"/>
    <s v="Travel_Rarely"/>
    <x v="0"/>
    <s v="Current Employees"/>
    <x v="1"/>
    <x v="0"/>
    <x v="1214"/>
    <x v="1214"/>
    <x v="1"/>
    <x v="4"/>
    <x v="0"/>
    <s v="No"/>
    <s v="Y"/>
    <n v="3"/>
    <n v="-2"/>
    <n v="0"/>
    <x v="0"/>
    <x v="1"/>
    <m/>
    <n v="0"/>
    <n v="1"/>
    <n v="447"/>
    <n v="5"/>
    <x v="3"/>
    <x v="0"/>
    <n v="2"/>
    <n v="85"/>
    <n v="4"/>
    <n v="2"/>
    <x v="1"/>
    <n v="6870"/>
    <n v="15530"/>
    <n v="3"/>
    <n v="12"/>
    <n v="3"/>
    <n v="1"/>
    <n v="80"/>
    <n v="0"/>
    <n v="11"/>
    <n v="1"/>
    <n v="3"/>
    <n v="2"/>
    <n v="1"/>
    <n v="2"/>
  </r>
  <r>
    <s v="No"/>
    <s v="Travel_Rarely"/>
    <x v="0"/>
    <s v="Current Employees"/>
    <x v="1"/>
    <x v="0"/>
    <x v="1215"/>
    <x v="1215"/>
    <x v="1"/>
    <x v="1"/>
    <x v="0"/>
    <s v="No"/>
    <s v="Y"/>
    <n v="2"/>
    <n v="-2"/>
    <n v="0"/>
    <x v="32"/>
    <x v="1"/>
    <m/>
    <n v="0"/>
    <n v="1"/>
    <n v="1322"/>
    <n v="2"/>
    <x v="2"/>
    <x v="0"/>
    <n v="3"/>
    <n v="52"/>
    <n v="2"/>
    <n v="1"/>
    <x v="2"/>
    <n v="2809"/>
    <n v="2725"/>
    <n v="2"/>
    <n v="14"/>
    <n v="3"/>
    <n v="4"/>
    <n v="80"/>
    <n v="0"/>
    <n v="8"/>
    <n v="3"/>
    <n v="2"/>
    <n v="2"/>
    <n v="2"/>
    <n v="2"/>
  </r>
  <r>
    <s v="No"/>
    <s v="Travel_Rarely"/>
    <x v="2"/>
    <s v="Current Employees"/>
    <x v="1"/>
    <x v="2"/>
    <x v="1216"/>
    <x v="1216"/>
    <x v="1"/>
    <x v="2"/>
    <x v="0"/>
    <s v="No"/>
    <s v="Y"/>
    <n v="6"/>
    <n v="-2"/>
    <n v="0"/>
    <x v="25"/>
    <x v="1"/>
    <m/>
    <n v="0"/>
    <n v="1"/>
    <n v="157"/>
    <n v="1"/>
    <x v="3"/>
    <x v="0"/>
    <n v="3"/>
    <n v="95"/>
    <n v="3"/>
    <n v="1"/>
    <x v="3"/>
    <n v="2867"/>
    <n v="20006"/>
    <n v="0"/>
    <n v="13"/>
    <n v="3"/>
    <n v="4"/>
    <n v="80"/>
    <n v="0"/>
    <n v="8"/>
    <n v="2"/>
    <n v="7"/>
    <n v="7"/>
    <n v="7"/>
    <n v="6"/>
  </r>
  <r>
    <s v="No"/>
    <s v="Travel_Rarely"/>
    <x v="1"/>
    <s v="Current Employees"/>
    <x v="1"/>
    <x v="0"/>
    <x v="1217"/>
    <x v="1217"/>
    <x v="1"/>
    <x v="4"/>
    <x v="0"/>
    <s v="No"/>
    <s v="Y"/>
    <n v="3"/>
    <n v="-2"/>
    <n v="0"/>
    <x v="21"/>
    <x v="1"/>
    <m/>
    <n v="0"/>
    <n v="1"/>
    <n v="717"/>
    <n v="13"/>
    <x v="2"/>
    <x v="0"/>
    <n v="3"/>
    <n v="34"/>
    <n v="3"/>
    <n v="2"/>
    <x v="1"/>
    <n v="5562"/>
    <n v="9697"/>
    <n v="6"/>
    <n v="14"/>
    <n v="3"/>
    <n v="4"/>
    <n v="80"/>
    <n v="0"/>
    <n v="19"/>
    <n v="3"/>
    <n v="10"/>
    <n v="7"/>
    <n v="0"/>
    <n v="9"/>
  </r>
  <r>
    <s v="No"/>
    <s v="Travel_Rarely"/>
    <x v="1"/>
    <s v="Current Employees"/>
    <x v="1"/>
    <x v="0"/>
    <x v="1218"/>
    <x v="1218"/>
    <x v="1"/>
    <x v="5"/>
    <x v="0"/>
    <s v="No"/>
    <s v="Y"/>
    <n v="2"/>
    <n v="-2"/>
    <n v="0"/>
    <x v="1"/>
    <x v="1"/>
    <m/>
    <n v="0"/>
    <n v="1"/>
    <n v="809"/>
    <n v="1"/>
    <x v="3"/>
    <x v="0"/>
    <n v="3"/>
    <n v="36"/>
    <n v="3"/>
    <n v="4"/>
    <x v="2"/>
    <n v="15379"/>
    <n v="22384"/>
    <n v="4"/>
    <n v="14"/>
    <n v="3"/>
    <n v="1"/>
    <n v="80"/>
    <n v="0"/>
    <n v="23"/>
    <n v="3"/>
    <n v="8"/>
    <n v="7"/>
    <n v="0"/>
    <n v="0"/>
  </r>
  <r>
    <s v="No"/>
    <s v="Travel_Rarely"/>
    <x v="4"/>
    <s v="Current Employees"/>
    <x v="1"/>
    <x v="2"/>
    <x v="1219"/>
    <x v="1219"/>
    <x v="1"/>
    <x v="1"/>
    <x v="0"/>
    <s v="No"/>
    <s v="Y"/>
    <n v="2"/>
    <n v="-2"/>
    <n v="0"/>
    <x v="18"/>
    <x v="1"/>
    <m/>
    <n v="0"/>
    <n v="1"/>
    <n v="546"/>
    <n v="5"/>
    <x v="1"/>
    <x v="0"/>
    <n v="3"/>
    <n v="97"/>
    <n v="3"/>
    <n v="1"/>
    <x v="0"/>
    <n v="3117"/>
    <n v="26009"/>
    <n v="1"/>
    <n v="18"/>
    <n v="3"/>
    <n v="3"/>
    <n v="80"/>
    <n v="0"/>
    <n v="3"/>
    <n v="3"/>
    <n v="2"/>
    <n v="2"/>
    <n v="2"/>
    <n v="2"/>
  </r>
  <r>
    <s v="No"/>
    <s v="Travel_Rarely"/>
    <x v="2"/>
    <s v="Current Employees"/>
    <x v="1"/>
    <x v="1"/>
    <x v="1220"/>
    <x v="1220"/>
    <x v="1"/>
    <x v="2"/>
    <x v="0"/>
    <s v="No"/>
    <s v="Y"/>
    <n v="2"/>
    <n v="-2"/>
    <n v="0"/>
    <x v="25"/>
    <x v="1"/>
    <m/>
    <n v="0"/>
    <n v="1"/>
    <n v="652"/>
    <n v="7"/>
    <x v="3"/>
    <x v="0"/>
    <n v="3"/>
    <n v="100"/>
    <n v="4"/>
    <n v="1"/>
    <x v="3"/>
    <n v="3578"/>
    <n v="23577"/>
    <n v="0"/>
    <n v="12"/>
    <n v="3"/>
    <n v="4"/>
    <n v="80"/>
    <n v="0"/>
    <n v="8"/>
    <n v="3"/>
    <n v="7"/>
    <n v="7"/>
    <n v="0"/>
    <n v="7"/>
  </r>
  <r>
    <s v="No"/>
    <s v="Travel_Rarely"/>
    <x v="0"/>
    <s v="Current Employees"/>
    <x v="1"/>
    <x v="2"/>
    <x v="1221"/>
    <x v="1221"/>
    <x v="1"/>
    <x v="2"/>
    <x v="0"/>
    <s v="No"/>
    <s v="Y"/>
    <n v="3"/>
    <n v="-2"/>
    <n v="0"/>
    <x v="10"/>
    <x v="1"/>
    <m/>
    <n v="0"/>
    <n v="1"/>
    <n v="992"/>
    <n v="1"/>
    <x v="3"/>
    <x v="0"/>
    <n v="4"/>
    <n v="68"/>
    <n v="2"/>
    <n v="1"/>
    <x v="3"/>
    <n v="2450"/>
    <n v="21731"/>
    <n v="1"/>
    <n v="19"/>
    <n v="3"/>
    <n v="2"/>
    <n v="80"/>
    <n v="0"/>
    <n v="3"/>
    <n v="3"/>
    <n v="3"/>
    <n v="0"/>
    <n v="1"/>
    <n v="2"/>
  </r>
  <r>
    <s v="No"/>
    <s v="Travel_Rarely"/>
    <x v="2"/>
    <s v="Current Employees"/>
    <x v="1"/>
    <x v="0"/>
    <x v="1222"/>
    <x v="1222"/>
    <x v="1"/>
    <x v="3"/>
    <x v="0"/>
    <s v="No"/>
    <s v="Y"/>
    <n v="2"/>
    <n v="-2"/>
    <n v="0"/>
    <x v="3"/>
    <x v="1"/>
    <m/>
    <n v="0"/>
    <n v="1"/>
    <n v="575"/>
    <n v="25"/>
    <x v="3"/>
    <x v="0"/>
    <n v="4"/>
    <n v="44"/>
    <n v="2"/>
    <n v="2"/>
    <x v="1"/>
    <n v="4320"/>
    <n v="24152"/>
    <n v="1"/>
    <n v="13"/>
    <n v="3"/>
    <n v="4"/>
    <n v="80"/>
    <n v="0"/>
    <n v="5"/>
    <n v="3"/>
    <n v="5"/>
    <n v="3"/>
    <n v="0"/>
    <n v="2"/>
  </r>
  <r>
    <s v="No"/>
    <s v="Travel_Rarely"/>
    <x v="2"/>
    <s v="Current Employees"/>
    <x v="1"/>
    <x v="0"/>
    <x v="1223"/>
    <x v="1223"/>
    <x v="1"/>
    <x v="2"/>
    <x v="0"/>
    <s v="No"/>
    <s v="Y"/>
    <n v="2"/>
    <n v="-2"/>
    <n v="0"/>
    <x v="11"/>
    <x v="1"/>
    <m/>
    <n v="0"/>
    <n v="1"/>
    <n v="592"/>
    <n v="7"/>
    <x v="3"/>
    <x v="0"/>
    <n v="4"/>
    <n v="59"/>
    <n v="3"/>
    <n v="1"/>
    <x v="3"/>
    <n v="2062"/>
    <n v="19384"/>
    <n v="3"/>
    <n v="14"/>
    <n v="3"/>
    <n v="2"/>
    <n v="80"/>
    <n v="0"/>
    <n v="11"/>
    <n v="3"/>
    <n v="3"/>
    <n v="2"/>
    <n v="1"/>
    <n v="2"/>
  </r>
  <r>
    <s v="No"/>
    <s v="Travel_Rarely"/>
    <x v="2"/>
    <s v="Current Employees"/>
    <x v="1"/>
    <x v="4"/>
    <x v="1224"/>
    <x v="1224"/>
    <x v="1"/>
    <x v="1"/>
    <x v="0"/>
    <s v="No"/>
    <s v="Y"/>
    <n v="4"/>
    <n v="-2"/>
    <n v="0"/>
    <x v="5"/>
    <x v="1"/>
    <m/>
    <n v="0"/>
    <n v="1"/>
    <n v="529"/>
    <n v="2"/>
    <x v="3"/>
    <x v="0"/>
    <n v="4"/>
    <n v="78"/>
    <n v="3"/>
    <n v="1"/>
    <x v="0"/>
    <n v="2439"/>
    <n v="11288"/>
    <n v="1"/>
    <n v="14"/>
    <n v="3"/>
    <n v="4"/>
    <n v="80"/>
    <n v="0"/>
    <n v="4"/>
    <n v="3"/>
    <n v="4"/>
    <n v="2"/>
    <n v="1"/>
    <n v="2"/>
  </r>
  <r>
    <s v="No"/>
    <s v="Travel_Rarely"/>
    <x v="0"/>
    <s v="Current Employees"/>
    <x v="1"/>
    <x v="0"/>
    <x v="1225"/>
    <x v="1225"/>
    <x v="1"/>
    <x v="1"/>
    <x v="0"/>
    <s v="No"/>
    <s v="Y"/>
    <n v="3"/>
    <n v="-2"/>
    <n v="0"/>
    <x v="20"/>
    <x v="1"/>
    <m/>
    <n v="0"/>
    <n v="1"/>
    <n v="1467"/>
    <n v="20"/>
    <x v="3"/>
    <x v="0"/>
    <n v="4"/>
    <n v="49"/>
    <n v="3"/>
    <n v="1"/>
    <x v="1"/>
    <n v="3420"/>
    <n v="21158"/>
    <n v="1"/>
    <n v="13"/>
    <n v="3"/>
    <n v="3"/>
    <n v="80"/>
    <n v="0"/>
    <n v="6"/>
    <n v="2"/>
    <n v="5"/>
    <n v="2"/>
    <n v="1"/>
    <n v="3"/>
  </r>
  <r>
    <s v="No"/>
    <s v="Travel_Rarely"/>
    <x v="0"/>
    <s v="Current Employees"/>
    <x v="1"/>
    <x v="0"/>
    <x v="1226"/>
    <x v="1226"/>
    <x v="1"/>
    <x v="2"/>
    <x v="0"/>
    <s v="No"/>
    <s v="Y"/>
    <n v="3"/>
    <n v="-2"/>
    <n v="0"/>
    <x v="19"/>
    <x v="1"/>
    <m/>
    <n v="0"/>
    <n v="1"/>
    <n v="1142"/>
    <n v="8"/>
    <x v="3"/>
    <x v="0"/>
    <n v="4"/>
    <n v="81"/>
    <n v="3"/>
    <n v="1"/>
    <x v="2"/>
    <n v="3968"/>
    <n v="13624"/>
    <n v="4"/>
    <n v="13"/>
    <n v="3"/>
    <n v="4"/>
    <n v="80"/>
    <n v="0"/>
    <n v="8"/>
    <n v="3"/>
    <n v="0"/>
    <n v="0"/>
    <n v="0"/>
    <n v="0"/>
  </r>
  <r>
    <s v="No"/>
    <s v="Travel_Rarely"/>
    <x v="4"/>
    <s v="Current Employees"/>
    <x v="1"/>
    <x v="0"/>
    <x v="1227"/>
    <x v="1227"/>
    <x v="1"/>
    <x v="1"/>
    <x v="0"/>
    <s v="No"/>
    <s v="Y"/>
    <n v="2"/>
    <n v="-2"/>
    <n v="0"/>
    <x v="15"/>
    <x v="1"/>
    <m/>
    <n v="0"/>
    <n v="1"/>
    <n v="581"/>
    <n v="1"/>
    <x v="0"/>
    <x v="0"/>
    <n v="4"/>
    <n v="63"/>
    <n v="3"/>
    <n v="1"/>
    <x v="2"/>
    <n v="3375"/>
    <n v="17624"/>
    <n v="0"/>
    <n v="12"/>
    <n v="3"/>
    <n v="4"/>
    <n v="80"/>
    <n v="0"/>
    <n v="4"/>
    <n v="4"/>
    <n v="3"/>
    <n v="2"/>
    <n v="1"/>
    <n v="2"/>
  </r>
  <r>
    <s v="No"/>
    <s v="Travel_Rarely"/>
    <x v="4"/>
    <s v="Current Employees"/>
    <x v="1"/>
    <x v="1"/>
    <x v="1228"/>
    <x v="1228"/>
    <x v="1"/>
    <x v="2"/>
    <x v="0"/>
    <s v="No"/>
    <s v="Y"/>
    <n v="6"/>
    <n v="-2"/>
    <n v="0"/>
    <x v="30"/>
    <x v="1"/>
    <m/>
    <n v="0"/>
    <n v="1"/>
    <n v="571"/>
    <n v="12"/>
    <x v="0"/>
    <x v="0"/>
    <n v="4"/>
    <n v="78"/>
    <n v="3"/>
    <n v="1"/>
    <x v="0"/>
    <n v="2647"/>
    <n v="13672"/>
    <n v="1"/>
    <n v="13"/>
    <n v="3"/>
    <n v="3"/>
    <n v="80"/>
    <n v="0"/>
    <n v="5"/>
    <n v="4"/>
    <n v="5"/>
    <n v="2"/>
    <n v="1"/>
    <n v="4"/>
  </r>
  <r>
    <s v="No"/>
    <s v="Travel_Rarely"/>
    <x v="1"/>
    <s v="Current Employees"/>
    <x v="1"/>
    <x v="2"/>
    <x v="1229"/>
    <x v="1229"/>
    <x v="1"/>
    <x v="7"/>
    <x v="0"/>
    <s v="No"/>
    <s v="Y"/>
    <n v="2"/>
    <n v="-2"/>
    <n v="0"/>
    <x v="16"/>
    <x v="1"/>
    <m/>
    <n v="0"/>
    <n v="1"/>
    <n v="447"/>
    <n v="2"/>
    <x v="3"/>
    <x v="0"/>
    <n v="4"/>
    <n v="39"/>
    <n v="4"/>
    <n v="4"/>
    <x v="1"/>
    <n v="16598"/>
    <n v="19764"/>
    <n v="4"/>
    <n v="12"/>
    <n v="3"/>
    <n v="2"/>
    <n v="80"/>
    <n v="0"/>
    <n v="35"/>
    <n v="2"/>
    <n v="9"/>
    <n v="8"/>
    <n v="8"/>
    <n v="8"/>
  </r>
  <r>
    <s v="No"/>
    <s v="Travel_Rarely"/>
    <x v="2"/>
    <s v="Current Employees"/>
    <x v="0"/>
    <x v="0"/>
    <x v="1230"/>
    <x v="1230"/>
    <x v="1"/>
    <x v="0"/>
    <x v="2"/>
    <s v="No"/>
    <s v="Y"/>
    <n v="5"/>
    <n v="-2"/>
    <n v="0"/>
    <x v="12"/>
    <x v="1"/>
    <m/>
    <n v="0"/>
    <n v="1"/>
    <n v="326"/>
    <n v="8"/>
    <x v="0"/>
    <x v="0"/>
    <n v="1"/>
    <n v="31"/>
    <n v="3"/>
    <n v="3"/>
    <x v="0"/>
    <n v="10793"/>
    <n v="8386"/>
    <n v="1"/>
    <n v="18"/>
    <n v="3"/>
    <n v="1"/>
    <n v="80"/>
    <n v="1"/>
    <n v="13"/>
    <n v="3"/>
    <n v="13"/>
    <n v="7"/>
    <n v="9"/>
    <n v="9"/>
  </r>
  <r>
    <s v="No"/>
    <s v="Travel_Rarely"/>
    <x v="2"/>
    <s v="Current Employees"/>
    <x v="0"/>
    <x v="3"/>
    <x v="1231"/>
    <x v="1231"/>
    <x v="1"/>
    <x v="0"/>
    <x v="2"/>
    <s v="No"/>
    <s v="Y"/>
    <n v="2"/>
    <n v="-2"/>
    <n v="0"/>
    <x v="7"/>
    <x v="1"/>
    <m/>
    <n v="0"/>
    <n v="1"/>
    <n v="979"/>
    <n v="15"/>
    <x v="0"/>
    <x v="0"/>
    <n v="3"/>
    <n v="94"/>
    <n v="2"/>
    <n v="3"/>
    <x v="1"/>
    <n v="7140"/>
    <n v="3088"/>
    <n v="2"/>
    <n v="11"/>
    <n v="3"/>
    <n v="1"/>
    <n v="80"/>
    <n v="1"/>
    <n v="12"/>
    <n v="3"/>
    <n v="7"/>
    <n v="7"/>
    <n v="1"/>
    <n v="7"/>
  </r>
  <r>
    <s v="No"/>
    <s v="Travel_Rarely"/>
    <x v="0"/>
    <s v="Current Employees"/>
    <x v="0"/>
    <x v="0"/>
    <x v="1232"/>
    <x v="1232"/>
    <x v="1"/>
    <x v="0"/>
    <x v="2"/>
    <s v="No"/>
    <s v="Y"/>
    <n v="5"/>
    <n v="-2"/>
    <n v="0"/>
    <x v="0"/>
    <x v="1"/>
    <m/>
    <n v="0"/>
    <n v="1"/>
    <n v="930"/>
    <n v="3"/>
    <x v="3"/>
    <x v="0"/>
    <n v="3"/>
    <n v="57"/>
    <n v="2"/>
    <n v="2"/>
    <x v="1"/>
    <n v="8938"/>
    <n v="12227"/>
    <n v="2"/>
    <n v="11"/>
    <n v="3"/>
    <n v="3"/>
    <n v="80"/>
    <n v="1"/>
    <n v="14"/>
    <n v="3"/>
    <n v="5"/>
    <n v="4"/>
    <n v="0"/>
    <n v="4"/>
  </r>
  <r>
    <s v="No"/>
    <s v="Travel_Rarely"/>
    <x v="2"/>
    <s v="Current Employees"/>
    <x v="0"/>
    <x v="2"/>
    <x v="1233"/>
    <x v="1233"/>
    <x v="1"/>
    <x v="0"/>
    <x v="2"/>
    <s v="No"/>
    <s v="Y"/>
    <n v="2"/>
    <n v="-2"/>
    <n v="0"/>
    <x v="13"/>
    <x v="1"/>
    <m/>
    <n v="0"/>
    <n v="1"/>
    <n v="1239"/>
    <n v="13"/>
    <x v="2"/>
    <x v="0"/>
    <n v="4"/>
    <n v="39"/>
    <n v="3"/>
    <n v="3"/>
    <x v="2"/>
    <n v="8628"/>
    <n v="22914"/>
    <n v="1"/>
    <n v="18"/>
    <n v="3"/>
    <n v="3"/>
    <n v="80"/>
    <n v="1"/>
    <n v="9"/>
    <n v="2"/>
    <n v="8"/>
    <n v="7"/>
    <n v="1"/>
    <n v="1"/>
  </r>
  <r>
    <s v="No"/>
    <s v="Travel_Rarely"/>
    <x v="2"/>
    <s v="Current Employees"/>
    <x v="0"/>
    <x v="0"/>
    <x v="1234"/>
    <x v="1234"/>
    <x v="1"/>
    <x v="0"/>
    <x v="2"/>
    <s v="No"/>
    <s v="Y"/>
    <n v="3"/>
    <n v="-2"/>
    <n v="0"/>
    <x v="11"/>
    <x v="1"/>
    <m/>
    <n v="0"/>
    <n v="1"/>
    <n v="1246"/>
    <n v="19"/>
    <x v="3"/>
    <x v="0"/>
    <n v="3"/>
    <n v="77"/>
    <n v="2"/>
    <n v="2"/>
    <x v="2"/>
    <n v="8620"/>
    <n v="23757"/>
    <n v="1"/>
    <n v="14"/>
    <n v="3"/>
    <n v="3"/>
    <n v="80"/>
    <n v="2"/>
    <n v="10"/>
    <n v="3"/>
    <n v="10"/>
    <n v="7"/>
    <n v="0"/>
    <n v="4"/>
  </r>
  <r>
    <s v="No"/>
    <s v="Travel_Rarely"/>
    <x v="2"/>
    <s v="Current Employees"/>
    <x v="0"/>
    <x v="2"/>
    <x v="1235"/>
    <x v="1235"/>
    <x v="1"/>
    <x v="0"/>
    <x v="2"/>
    <s v="No"/>
    <s v="Y"/>
    <n v="5"/>
    <n v="-2"/>
    <n v="0"/>
    <x v="3"/>
    <x v="1"/>
    <m/>
    <n v="0"/>
    <n v="1"/>
    <n v="392"/>
    <n v="2"/>
    <x v="2"/>
    <x v="0"/>
    <n v="4"/>
    <n v="93"/>
    <n v="3"/>
    <n v="2"/>
    <x v="0"/>
    <n v="5505"/>
    <n v="3921"/>
    <n v="1"/>
    <n v="14"/>
    <n v="3"/>
    <n v="3"/>
    <n v="80"/>
    <n v="2"/>
    <n v="6"/>
    <n v="3"/>
    <n v="6"/>
    <n v="2"/>
    <n v="0"/>
    <n v="4"/>
  </r>
  <r>
    <s v="No"/>
    <s v="Travel_Rarely"/>
    <x v="1"/>
    <s v="Current Employees"/>
    <x v="0"/>
    <x v="3"/>
    <x v="1236"/>
    <x v="1236"/>
    <x v="1"/>
    <x v="0"/>
    <x v="2"/>
    <s v="No"/>
    <s v="Y"/>
    <n v="3"/>
    <n v="-2"/>
    <n v="0"/>
    <x v="26"/>
    <x v="1"/>
    <m/>
    <n v="0"/>
    <n v="1"/>
    <n v="1221"/>
    <n v="7"/>
    <x v="3"/>
    <x v="0"/>
    <n v="3"/>
    <n v="96"/>
    <n v="3"/>
    <n v="2"/>
    <x v="1"/>
    <n v="5486"/>
    <n v="24795"/>
    <n v="4"/>
    <n v="11"/>
    <n v="3"/>
    <n v="1"/>
    <n v="80"/>
    <n v="3"/>
    <n v="15"/>
    <n v="3"/>
    <n v="2"/>
    <n v="2"/>
    <n v="2"/>
    <n v="2"/>
  </r>
  <r>
    <s v="No"/>
    <s v="Travel_Rarely"/>
    <x v="0"/>
    <s v="Current Employees"/>
    <x v="0"/>
    <x v="2"/>
    <x v="1237"/>
    <x v="1237"/>
    <x v="1"/>
    <x v="0"/>
    <x v="1"/>
    <s v="No"/>
    <s v="Y"/>
    <n v="5"/>
    <n v="-2"/>
    <n v="0"/>
    <x v="32"/>
    <x v="1"/>
    <m/>
    <n v="0"/>
    <n v="1"/>
    <n v="1342"/>
    <n v="9"/>
    <x v="0"/>
    <x v="0"/>
    <n v="1"/>
    <n v="47"/>
    <n v="3"/>
    <n v="2"/>
    <x v="3"/>
    <n v="5473"/>
    <n v="19345"/>
    <n v="0"/>
    <n v="12"/>
    <n v="3"/>
    <n v="4"/>
    <n v="80"/>
    <n v="0"/>
    <n v="9"/>
    <n v="4"/>
    <n v="8"/>
    <n v="4"/>
    <n v="7"/>
    <n v="1"/>
  </r>
  <r>
    <s v="No"/>
    <s v="Travel_Rarely"/>
    <x v="2"/>
    <s v="Current Employees"/>
    <x v="0"/>
    <x v="0"/>
    <x v="1238"/>
    <x v="1238"/>
    <x v="1"/>
    <x v="0"/>
    <x v="1"/>
    <s v="No"/>
    <s v="Y"/>
    <n v="6"/>
    <n v="-2"/>
    <n v="0"/>
    <x v="3"/>
    <x v="1"/>
    <m/>
    <n v="0"/>
    <n v="1"/>
    <n v="1242"/>
    <n v="8"/>
    <x v="2"/>
    <x v="0"/>
    <n v="1"/>
    <n v="46"/>
    <n v="3"/>
    <n v="2"/>
    <x v="3"/>
    <n v="6392"/>
    <n v="10589"/>
    <n v="2"/>
    <n v="13"/>
    <n v="3"/>
    <n v="4"/>
    <n v="80"/>
    <n v="1"/>
    <n v="8"/>
    <n v="1"/>
    <n v="2"/>
    <n v="2"/>
    <n v="2"/>
    <n v="2"/>
  </r>
  <r>
    <s v="No"/>
    <s v="Travel_Rarely"/>
    <x v="2"/>
    <s v="Current Employees"/>
    <x v="0"/>
    <x v="0"/>
    <x v="1239"/>
    <x v="1239"/>
    <x v="1"/>
    <x v="6"/>
    <x v="1"/>
    <s v="No"/>
    <s v="Y"/>
    <n v="1"/>
    <n v="-2"/>
    <n v="0"/>
    <x v="12"/>
    <x v="1"/>
    <m/>
    <n v="0"/>
    <n v="1"/>
    <n v="1154"/>
    <n v="2"/>
    <x v="0"/>
    <x v="0"/>
    <n v="1"/>
    <n v="54"/>
    <n v="3"/>
    <n v="1"/>
    <x v="2"/>
    <n v="3067"/>
    <n v="6393"/>
    <n v="0"/>
    <n v="19"/>
    <n v="3"/>
    <n v="3"/>
    <n v="80"/>
    <n v="1"/>
    <n v="3"/>
    <n v="3"/>
    <n v="2"/>
    <n v="2"/>
    <n v="1"/>
    <n v="2"/>
  </r>
  <r>
    <s v="No"/>
    <s v="Travel_Rarely"/>
    <x v="2"/>
    <s v="Current Employees"/>
    <x v="0"/>
    <x v="4"/>
    <x v="1240"/>
    <x v="1240"/>
    <x v="1"/>
    <x v="0"/>
    <x v="1"/>
    <s v="No"/>
    <s v="Y"/>
    <n v="3"/>
    <n v="-2"/>
    <n v="0"/>
    <x v="12"/>
    <x v="1"/>
    <m/>
    <n v="0"/>
    <n v="1"/>
    <n v="1003"/>
    <n v="5"/>
    <x v="3"/>
    <x v="0"/>
    <n v="4"/>
    <n v="51"/>
    <n v="3"/>
    <n v="2"/>
    <x v="0"/>
    <n v="8346"/>
    <n v="20943"/>
    <n v="1"/>
    <n v="19"/>
    <n v="3"/>
    <n v="3"/>
    <n v="80"/>
    <n v="1"/>
    <n v="6"/>
    <n v="3"/>
    <n v="5"/>
    <n v="2"/>
    <n v="0"/>
    <n v="2"/>
  </r>
  <r>
    <s v="No"/>
    <s v="Travel_Rarely"/>
    <x v="2"/>
    <s v="Current Employees"/>
    <x v="0"/>
    <x v="2"/>
    <x v="1241"/>
    <x v="1241"/>
    <x v="1"/>
    <x v="6"/>
    <x v="1"/>
    <s v="No"/>
    <s v="Y"/>
    <n v="2"/>
    <n v="-2"/>
    <n v="0"/>
    <x v="5"/>
    <x v="1"/>
    <m/>
    <n v="0"/>
    <n v="1"/>
    <n v="234"/>
    <n v="1"/>
    <x v="2"/>
    <x v="0"/>
    <n v="2"/>
    <n v="68"/>
    <n v="2"/>
    <n v="1"/>
    <x v="1"/>
    <n v="2269"/>
    <n v="18024"/>
    <n v="0"/>
    <n v="14"/>
    <n v="3"/>
    <n v="2"/>
    <n v="80"/>
    <n v="1"/>
    <n v="3"/>
    <n v="3"/>
    <n v="2"/>
    <n v="2"/>
    <n v="2"/>
    <n v="2"/>
  </r>
  <r>
    <s v="No"/>
    <s v="Travel_Rarely"/>
    <x v="0"/>
    <s v="Current Employees"/>
    <x v="0"/>
    <x v="2"/>
    <x v="1242"/>
    <x v="1242"/>
    <x v="1"/>
    <x v="0"/>
    <x v="1"/>
    <s v="No"/>
    <s v="Y"/>
    <n v="2"/>
    <n v="-2"/>
    <n v="0"/>
    <x v="10"/>
    <x v="1"/>
    <m/>
    <n v="0"/>
    <n v="1"/>
    <n v="682"/>
    <n v="18"/>
    <x v="2"/>
    <x v="0"/>
    <n v="2"/>
    <n v="71"/>
    <n v="3"/>
    <n v="2"/>
    <x v="3"/>
    <n v="5561"/>
    <n v="15975"/>
    <n v="0"/>
    <n v="16"/>
    <n v="3"/>
    <n v="4"/>
    <n v="80"/>
    <n v="1"/>
    <n v="6"/>
    <n v="1"/>
    <n v="5"/>
    <n v="3"/>
    <n v="0"/>
    <n v="4"/>
  </r>
  <r>
    <s v="No"/>
    <s v="Travel_Rarely"/>
    <x v="2"/>
    <s v="Current Employees"/>
    <x v="0"/>
    <x v="4"/>
    <x v="1243"/>
    <x v="1243"/>
    <x v="1"/>
    <x v="0"/>
    <x v="1"/>
    <s v="No"/>
    <s v="Y"/>
    <n v="3"/>
    <n v="-2"/>
    <n v="0"/>
    <x v="7"/>
    <x v="1"/>
    <m/>
    <n v="0"/>
    <n v="1"/>
    <n v="1288"/>
    <n v="29"/>
    <x v="2"/>
    <x v="0"/>
    <n v="4"/>
    <n v="33"/>
    <n v="3"/>
    <n v="3"/>
    <x v="0"/>
    <n v="9250"/>
    <n v="17799"/>
    <n v="3"/>
    <n v="12"/>
    <n v="3"/>
    <n v="2"/>
    <n v="80"/>
    <n v="1"/>
    <n v="9"/>
    <n v="3"/>
    <n v="4"/>
    <n v="2"/>
    <n v="1"/>
    <n v="3"/>
  </r>
  <r>
    <s v="No"/>
    <s v="Travel_Rarely"/>
    <x v="0"/>
    <s v="Current Employees"/>
    <x v="0"/>
    <x v="0"/>
    <x v="1244"/>
    <x v="1244"/>
    <x v="1"/>
    <x v="0"/>
    <x v="1"/>
    <s v="No"/>
    <s v="Y"/>
    <n v="3"/>
    <n v="-2"/>
    <n v="0"/>
    <x v="8"/>
    <x v="1"/>
    <m/>
    <n v="0"/>
    <n v="1"/>
    <n v="1245"/>
    <n v="14"/>
    <x v="3"/>
    <x v="0"/>
    <n v="3"/>
    <n v="80"/>
    <n v="3"/>
    <n v="2"/>
    <x v="1"/>
    <n v="9924"/>
    <n v="12355"/>
    <n v="0"/>
    <n v="11"/>
    <n v="3"/>
    <n v="4"/>
    <n v="80"/>
    <n v="1"/>
    <n v="10"/>
    <n v="3"/>
    <n v="9"/>
    <n v="8"/>
    <n v="7"/>
    <n v="7"/>
  </r>
  <r>
    <s v="No"/>
    <s v="Travel_Rarely"/>
    <x v="2"/>
    <s v="Current Employees"/>
    <x v="0"/>
    <x v="0"/>
    <x v="1245"/>
    <x v="1245"/>
    <x v="1"/>
    <x v="0"/>
    <x v="1"/>
    <s v="No"/>
    <s v="Y"/>
    <n v="2"/>
    <n v="-2"/>
    <n v="0"/>
    <x v="5"/>
    <x v="1"/>
    <m/>
    <n v="0"/>
    <n v="1"/>
    <n v="371"/>
    <n v="19"/>
    <x v="3"/>
    <x v="0"/>
    <n v="4"/>
    <n v="80"/>
    <n v="1"/>
    <n v="3"/>
    <x v="2"/>
    <n v="9610"/>
    <n v="3840"/>
    <n v="3"/>
    <n v="13"/>
    <n v="3"/>
    <n v="3"/>
    <n v="80"/>
    <n v="1"/>
    <n v="10"/>
    <n v="1"/>
    <n v="4"/>
    <n v="3"/>
    <n v="0"/>
    <n v="2"/>
  </r>
  <r>
    <s v="No"/>
    <s v="Travel_Rarely"/>
    <x v="0"/>
    <s v="Current Employees"/>
    <x v="0"/>
    <x v="0"/>
    <x v="1246"/>
    <x v="1246"/>
    <x v="1"/>
    <x v="6"/>
    <x v="1"/>
    <s v="No"/>
    <s v="Y"/>
    <n v="3"/>
    <n v="-2"/>
    <n v="0"/>
    <x v="10"/>
    <x v="1"/>
    <m/>
    <n v="0"/>
    <n v="1"/>
    <n v="660"/>
    <n v="7"/>
    <x v="1"/>
    <x v="0"/>
    <n v="4"/>
    <n v="76"/>
    <n v="3"/>
    <n v="1"/>
    <x v="2"/>
    <n v="2404"/>
    <n v="16192"/>
    <n v="1"/>
    <n v="13"/>
    <n v="3"/>
    <n v="1"/>
    <n v="80"/>
    <n v="1"/>
    <n v="1"/>
    <n v="3"/>
    <n v="1"/>
    <n v="0"/>
    <n v="0"/>
    <n v="0"/>
  </r>
  <r>
    <s v="No"/>
    <s v="Travel_Rarely"/>
    <x v="2"/>
    <s v="Current Employees"/>
    <x v="0"/>
    <x v="3"/>
    <x v="1247"/>
    <x v="1247"/>
    <x v="1"/>
    <x v="0"/>
    <x v="1"/>
    <s v="No"/>
    <s v="Y"/>
    <n v="3"/>
    <n v="-2"/>
    <n v="0"/>
    <x v="5"/>
    <x v="1"/>
    <m/>
    <n v="0"/>
    <n v="1"/>
    <n v="601"/>
    <n v="7"/>
    <x v="4"/>
    <x v="0"/>
    <n v="4"/>
    <n v="97"/>
    <n v="3"/>
    <n v="2"/>
    <x v="1"/>
    <n v="9204"/>
    <n v="23343"/>
    <n v="4"/>
    <n v="12"/>
    <n v="3"/>
    <n v="3"/>
    <n v="80"/>
    <n v="1"/>
    <n v="7"/>
    <n v="2"/>
    <n v="4"/>
    <n v="3"/>
    <n v="0"/>
    <n v="3"/>
  </r>
  <r>
    <s v="No"/>
    <s v="Travel_Rarely"/>
    <x v="0"/>
    <s v="Current Employees"/>
    <x v="0"/>
    <x v="2"/>
    <x v="1248"/>
    <x v="1248"/>
    <x v="1"/>
    <x v="0"/>
    <x v="1"/>
    <s v="No"/>
    <s v="Y"/>
    <n v="3"/>
    <n v="-2"/>
    <n v="0"/>
    <x v="22"/>
    <x v="1"/>
    <m/>
    <n v="0"/>
    <n v="1"/>
    <n v="1462"/>
    <n v="6"/>
    <x v="3"/>
    <x v="0"/>
    <n v="4"/>
    <n v="38"/>
    <n v="4"/>
    <n v="3"/>
    <x v="2"/>
    <n v="8237"/>
    <n v="4658"/>
    <n v="2"/>
    <n v="11"/>
    <n v="3"/>
    <n v="1"/>
    <n v="80"/>
    <n v="1"/>
    <n v="11"/>
    <n v="3"/>
    <n v="7"/>
    <n v="6"/>
    <n v="7"/>
    <n v="6"/>
  </r>
  <r>
    <s v="No"/>
    <s v="Travel_Rarely"/>
    <x v="0"/>
    <s v="Current Employees"/>
    <x v="0"/>
    <x v="3"/>
    <x v="1249"/>
    <x v="1249"/>
    <x v="1"/>
    <x v="0"/>
    <x v="1"/>
    <s v="No"/>
    <s v="Y"/>
    <n v="2"/>
    <n v="-2"/>
    <n v="0"/>
    <x v="2"/>
    <x v="1"/>
    <m/>
    <n v="0"/>
    <n v="1"/>
    <n v="589"/>
    <n v="9"/>
    <x v="0"/>
    <x v="0"/>
    <n v="2"/>
    <n v="46"/>
    <n v="2"/>
    <n v="2"/>
    <x v="1"/>
    <n v="4189"/>
    <n v="8800"/>
    <n v="1"/>
    <n v="14"/>
    <n v="3"/>
    <n v="1"/>
    <n v="80"/>
    <n v="2"/>
    <n v="5"/>
    <n v="3"/>
    <n v="5"/>
    <n v="2"/>
    <n v="0"/>
    <n v="3"/>
  </r>
  <r>
    <s v="No"/>
    <s v="Travel_Rarely"/>
    <x v="0"/>
    <s v="Current Employees"/>
    <x v="0"/>
    <x v="3"/>
    <x v="1250"/>
    <x v="1250"/>
    <x v="1"/>
    <x v="0"/>
    <x v="1"/>
    <s v="No"/>
    <s v="Y"/>
    <n v="1"/>
    <n v="-2"/>
    <n v="0"/>
    <x v="9"/>
    <x v="1"/>
    <m/>
    <n v="0"/>
    <n v="1"/>
    <n v="335"/>
    <n v="17"/>
    <x v="0"/>
    <x v="0"/>
    <n v="3"/>
    <n v="33"/>
    <n v="2"/>
    <n v="2"/>
    <x v="1"/>
    <n v="5507"/>
    <n v="16822"/>
    <n v="2"/>
    <n v="16"/>
    <n v="3"/>
    <n v="3"/>
    <n v="80"/>
    <n v="2"/>
    <n v="12"/>
    <n v="1"/>
    <n v="4"/>
    <n v="2"/>
    <n v="1"/>
    <n v="3"/>
  </r>
  <r>
    <s v="No"/>
    <s v="Travel_Rarely"/>
    <x v="0"/>
    <s v="Current Employees"/>
    <x v="0"/>
    <x v="0"/>
    <x v="1251"/>
    <x v="1251"/>
    <x v="1"/>
    <x v="0"/>
    <x v="1"/>
    <s v="No"/>
    <s v="Y"/>
    <n v="3"/>
    <n v="-2"/>
    <n v="0"/>
    <x v="8"/>
    <x v="1"/>
    <m/>
    <n v="0"/>
    <n v="1"/>
    <n v="1321"/>
    <n v="1"/>
    <x v="2"/>
    <x v="0"/>
    <n v="4"/>
    <n v="86"/>
    <n v="3"/>
    <n v="2"/>
    <x v="1"/>
    <n v="4440"/>
    <n v="7636"/>
    <n v="0"/>
    <n v="15"/>
    <n v="3"/>
    <n v="1"/>
    <n v="80"/>
    <n v="2"/>
    <n v="16"/>
    <n v="3"/>
    <n v="15"/>
    <n v="13"/>
    <n v="5"/>
    <n v="8"/>
  </r>
  <r>
    <s v="No"/>
    <s v="Travel_Rarely"/>
    <x v="2"/>
    <s v="Current Employees"/>
    <x v="0"/>
    <x v="0"/>
    <x v="1252"/>
    <x v="1252"/>
    <x v="1"/>
    <x v="0"/>
    <x v="1"/>
    <s v="No"/>
    <s v="Y"/>
    <n v="2"/>
    <n v="-2"/>
    <n v="0"/>
    <x v="7"/>
    <x v="1"/>
    <m/>
    <n v="0"/>
    <n v="1"/>
    <n v="1358"/>
    <n v="16"/>
    <x v="1"/>
    <x v="0"/>
    <n v="4"/>
    <n v="96"/>
    <n v="3"/>
    <n v="2"/>
    <x v="2"/>
    <n v="5301"/>
    <n v="2939"/>
    <n v="8"/>
    <n v="15"/>
    <n v="3"/>
    <n v="3"/>
    <n v="80"/>
    <n v="2"/>
    <n v="4"/>
    <n v="2"/>
    <n v="2"/>
    <n v="1"/>
    <n v="2"/>
    <n v="2"/>
  </r>
  <r>
    <s v="No"/>
    <s v="Travel_Rarely"/>
    <x v="0"/>
    <s v="Current Employees"/>
    <x v="0"/>
    <x v="0"/>
    <x v="1253"/>
    <x v="1253"/>
    <x v="1"/>
    <x v="6"/>
    <x v="0"/>
    <s v="No"/>
    <s v="Y"/>
    <n v="3"/>
    <n v="-2"/>
    <n v="0"/>
    <x v="8"/>
    <x v="1"/>
    <m/>
    <n v="0"/>
    <n v="1"/>
    <n v="1404"/>
    <n v="1"/>
    <x v="3"/>
    <x v="0"/>
    <n v="1"/>
    <n v="59"/>
    <n v="2"/>
    <n v="1"/>
    <x v="3"/>
    <n v="2858"/>
    <n v="11473"/>
    <n v="4"/>
    <n v="14"/>
    <n v="3"/>
    <n v="1"/>
    <n v="80"/>
    <n v="0"/>
    <n v="20"/>
    <n v="2"/>
    <n v="1"/>
    <n v="0"/>
    <n v="0"/>
    <n v="0"/>
  </r>
  <r>
    <s v="No"/>
    <s v="Travel_Rarely"/>
    <x v="0"/>
    <s v="Current Employees"/>
    <x v="0"/>
    <x v="3"/>
    <x v="1254"/>
    <x v="1254"/>
    <x v="1"/>
    <x v="0"/>
    <x v="0"/>
    <s v="No"/>
    <s v="Y"/>
    <n v="3"/>
    <n v="-2"/>
    <n v="0"/>
    <x v="22"/>
    <x v="1"/>
    <m/>
    <n v="0"/>
    <n v="1"/>
    <n v="119"/>
    <n v="15"/>
    <x v="2"/>
    <x v="0"/>
    <n v="2"/>
    <n v="77"/>
    <n v="3"/>
    <n v="4"/>
    <x v="3"/>
    <n v="13341"/>
    <n v="25098"/>
    <n v="0"/>
    <n v="12"/>
    <n v="3"/>
    <n v="1"/>
    <n v="80"/>
    <n v="0"/>
    <n v="21"/>
    <n v="3"/>
    <n v="20"/>
    <n v="8"/>
    <n v="11"/>
    <n v="10"/>
  </r>
  <r>
    <s v="No"/>
    <s v="Travel_Rarely"/>
    <x v="0"/>
    <s v="Current Employees"/>
    <x v="0"/>
    <x v="2"/>
    <x v="1255"/>
    <x v="1255"/>
    <x v="1"/>
    <x v="5"/>
    <x v="0"/>
    <s v="No"/>
    <s v="Y"/>
    <n v="3"/>
    <n v="-2"/>
    <n v="0"/>
    <x v="32"/>
    <x v="1"/>
    <m/>
    <n v="0"/>
    <n v="1"/>
    <n v="611"/>
    <n v="7"/>
    <x v="2"/>
    <x v="0"/>
    <n v="2"/>
    <n v="88"/>
    <n v="3"/>
    <n v="5"/>
    <x v="1"/>
    <n v="19833"/>
    <n v="4349"/>
    <n v="1"/>
    <n v="14"/>
    <n v="3"/>
    <n v="2"/>
    <n v="80"/>
    <n v="0"/>
    <n v="21"/>
    <n v="2"/>
    <n v="21"/>
    <n v="8"/>
    <n v="12"/>
    <n v="8"/>
  </r>
  <r>
    <s v="No"/>
    <s v="Travel_Rarely"/>
    <x v="2"/>
    <s v="Current Employees"/>
    <x v="0"/>
    <x v="3"/>
    <x v="1256"/>
    <x v="1256"/>
    <x v="1"/>
    <x v="0"/>
    <x v="0"/>
    <s v="No"/>
    <s v="Y"/>
    <n v="2"/>
    <n v="-2"/>
    <n v="0"/>
    <x v="3"/>
    <x v="1"/>
    <m/>
    <n v="0"/>
    <n v="1"/>
    <n v="217"/>
    <n v="10"/>
    <x v="2"/>
    <x v="0"/>
    <n v="2"/>
    <n v="43"/>
    <n v="3"/>
    <n v="2"/>
    <x v="3"/>
    <n v="5487"/>
    <n v="10410"/>
    <n v="1"/>
    <n v="14"/>
    <n v="3"/>
    <n v="2"/>
    <n v="80"/>
    <n v="0"/>
    <n v="10"/>
    <n v="2"/>
    <n v="10"/>
    <n v="4"/>
    <n v="0"/>
    <n v="9"/>
  </r>
  <r>
    <s v="No"/>
    <s v="Travel_Rarely"/>
    <x v="2"/>
    <s v="Current Employees"/>
    <x v="0"/>
    <x v="2"/>
    <x v="1257"/>
    <x v="1257"/>
    <x v="1"/>
    <x v="0"/>
    <x v="0"/>
    <s v="No"/>
    <s v="Y"/>
    <n v="2"/>
    <n v="-2"/>
    <n v="0"/>
    <x v="11"/>
    <x v="1"/>
    <m/>
    <n v="0"/>
    <n v="1"/>
    <n v="469"/>
    <n v="10"/>
    <x v="3"/>
    <x v="0"/>
    <n v="3"/>
    <n v="42"/>
    <n v="2"/>
    <n v="2"/>
    <x v="2"/>
    <n v="5869"/>
    <n v="23413"/>
    <n v="9"/>
    <n v="11"/>
    <n v="3"/>
    <n v="3"/>
    <n v="80"/>
    <n v="0"/>
    <n v="8"/>
    <n v="3"/>
    <n v="5"/>
    <n v="2"/>
    <n v="1"/>
    <n v="4"/>
  </r>
  <r>
    <s v="No"/>
    <s v="Travel_Rarely"/>
    <x v="2"/>
    <s v="Current Employees"/>
    <x v="0"/>
    <x v="2"/>
    <x v="1258"/>
    <x v="1258"/>
    <x v="1"/>
    <x v="0"/>
    <x v="0"/>
    <s v="No"/>
    <s v="Y"/>
    <n v="4"/>
    <n v="-2"/>
    <n v="0"/>
    <x v="25"/>
    <x v="1"/>
    <m/>
    <n v="0"/>
    <n v="1"/>
    <n v="572"/>
    <n v="10"/>
    <x v="3"/>
    <x v="0"/>
    <n v="3"/>
    <n v="46"/>
    <n v="3"/>
    <n v="2"/>
    <x v="0"/>
    <n v="4684"/>
    <n v="9125"/>
    <n v="1"/>
    <n v="13"/>
    <n v="3"/>
    <n v="1"/>
    <n v="80"/>
    <n v="0"/>
    <n v="5"/>
    <n v="3"/>
    <n v="5"/>
    <n v="3"/>
    <n v="1"/>
    <n v="2"/>
  </r>
  <r>
    <s v="No"/>
    <s v="Travel_Rarely"/>
    <x v="2"/>
    <s v="Current Employees"/>
    <x v="0"/>
    <x v="1"/>
    <x v="1259"/>
    <x v="1259"/>
    <x v="1"/>
    <x v="0"/>
    <x v="0"/>
    <s v="No"/>
    <s v="Y"/>
    <n v="2"/>
    <n v="-2"/>
    <n v="0"/>
    <x v="13"/>
    <x v="1"/>
    <m/>
    <n v="0"/>
    <n v="1"/>
    <n v="1326"/>
    <n v="3"/>
    <x v="3"/>
    <x v="0"/>
    <n v="4"/>
    <n v="81"/>
    <n v="1"/>
    <n v="2"/>
    <x v="3"/>
    <n v="4759"/>
    <n v="15891"/>
    <n v="3"/>
    <n v="18"/>
    <n v="3"/>
    <n v="4"/>
    <n v="80"/>
    <n v="0"/>
    <n v="15"/>
    <n v="3"/>
    <n v="13"/>
    <n v="9"/>
    <n v="3"/>
    <n v="12"/>
  </r>
  <r>
    <s v="No"/>
    <s v="Travel_Rarely"/>
    <x v="4"/>
    <s v="Current Employees"/>
    <x v="0"/>
    <x v="0"/>
    <x v="1260"/>
    <x v="1260"/>
    <x v="1"/>
    <x v="6"/>
    <x v="0"/>
    <s v="No"/>
    <s v="Y"/>
    <n v="3"/>
    <n v="-2"/>
    <n v="0"/>
    <x v="35"/>
    <x v="1"/>
    <m/>
    <n v="0"/>
    <n v="1"/>
    <n v="727"/>
    <n v="9"/>
    <x v="1"/>
    <x v="0"/>
    <n v="4"/>
    <n v="54"/>
    <n v="3"/>
    <n v="1"/>
    <x v="3"/>
    <n v="2728"/>
    <n v="21082"/>
    <n v="1"/>
    <n v="11"/>
    <n v="3"/>
    <n v="1"/>
    <n v="80"/>
    <n v="0"/>
    <n v="2"/>
    <n v="3"/>
    <n v="2"/>
    <n v="2"/>
    <n v="0"/>
    <n v="2"/>
  </r>
  <r>
    <s v="No"/>
    <s v="Travel_Rarely"/>
    <x v="2"/>
    <s v="Current Employees"/>
    <x v="0"/>
    <x v="2"/>
    <x v="1261"/>
    <x v="1261"/>
    <x v="1"/>
    <x v="0"/>
    <x v="0"/>
    <s v="No"/>
    <s v="Y"/>
    <n v="4"/>
    <n v="-2"/>
    <n v="0"/>
    <x v="14"/>
    <x v="1"/>
    <m/>
    <n v="0"/>
    <n v="1"/>
    <n v="866"/>
    <n v="5"/>
    <x v="3"/>
    <x v="0"/>
    <n v="4"/>
    <n v="84"/>
    <n v="3"/>
    <n v="2"/>
    <x v="3"/>
    <n v="8463"/>
    <n v="23490"/>
    <n v="0"/>
    <n v="18"/>
    <n v="3"/>
    <n v="4"/>
    <n v="80"/>
    <n v="0"/>
    <n v="6"/>
    <n v="3"/>
    <n v="5"/>
    <n v="4"/>
    <n v="1"/>
    <n v="3"/>
  </r>
  <r>
    <s v="No"/>
    <s v="Travel_Rarely"/>
    <x v="0"/>
    <s v="Current Employees"/>
    <x v="0"/>
    <x v="3"/>
    <x v="1262"/>
    <x v="1262"/>
    <x v="1"/>
    <x v="0"/>
    <x v="0"/>
    <s v="No"/>
    <s v="Y"/>
    <n v="3"/>
    <n v="-2"/>
    <n v="0"/>
    <x v="0"/>
    <x v="1"/>
    <m/>
    <n v="0"/>
    <n v="1"/>
    <n v="918"/>
    <n v="6"/>
    <x v="3"/>
    <x v="0"/>
    <n v="4"/>
    <n v="35"/>
    <n v="3"/>
    <n v="3"/>
    <x v="3"/>
    <n v="9241"/>
    <n v="15869"/>
    <n v="1"/>
    <n v="12"/>
    <n v="3"/>
    <n v="2"/>
    <n v="80"/>
    <n v="0"/>
    <n v="10"/>
    <n v="3"/>
    <n v="10"/>
    <n v="8"/>
    <n v="8"/>
    <n v="7"/>
  </r>
  <r>
    <s v="No"/>
    <s v="Travel_Rarely"/>
    <x v="2"/>
    <s v="Current Employees"/>
    <x v="0"/>
    <x v="3"/>
    <x v="1263"/>
    <x v="1263"/>
    <x v="1"/>
    <x v="0"/>
    <x v="0"/>
    <s v="No"/>
    <s v="Y"/>
    <n v="5"/>
    <n v="-2"/>
    <n v="0"/>
    <x v="4"/>
    <x v="1"/>
    <m/>
    <n v="0"/>
    <n v="1"/>
    <n v="954"/>
    <n v="9"/>
    <x v="3"/>
    <x v="0"/>
    <n v="4"/>
    <n v="44"/>
    <n v="3"/>
    <n v="2"/>
    <x v="3"/>
    <n v="4105"/>
    <n v="5099"/>
    <n v="1"/>
    <n v="14"/>
    <n v="3"/>
    <n v="1"/>
    <n v="80"/>
    <n v="0"/>
    <n v="7"/>
    <n v="3"/>
    <n v="7"/>
    <n v="7"/>
    <n v="0"/>
    <n v="7"/>
  </r>
  <r>
    <s v="No"/>
    <s v="Travel_Rarely"/>
    <x v="1"/>
    <s v="Current Employees"/>
    <x v="0"/>
    <x v="0"/>
    <x v="1264"/>
    <x v="1264"/>
    <x v="1"/>
    <x v="5"/>
    <x v="0"/>
    <s v="No"/>
    <s v="Y"/>
    <n v="5"/>
    <n v="-2"/>
    <n v="0"/>
    <x v="21"/>
    <x v="1"/>
    <m/>
    <n v="0"/>
    <n v="1"/>
    <n v="563"/>
    <n v="1"/>
    <x v="2"/>
    <x v="0"/>
    <n v="4"/>
    <n v="56"/>
    <n v="4"/>
    <n v="4"/>
    <x v="3"/>
    <n v="17567"/>
    <n v="3156"/>
    <n v="1"/>
    <n v="15"/>
    <n v="3"/>
    <n v="2"/>
    <n v="80"/>
    <n v="0"/>
    <n v="27"/>
    <n v="1"/>
    <n v="26"/>
    <n v="0"/>
    <n v="0"/>
    <n v="12"/>
  </r>
  <r>
    <s v="No"/>
    <s v="Non-Travel"/>
    <x v="4"/>
    <s v="Current Employees"/>
    <x v="1"/>
    <x v="1"/>
    <x v="1265"/>
    <x v="1265"/>
    <x v="0"/>
    <x v="1"/>
    <x v="1"/>
    <s v="Yes"/>
    <s v="Y"/>
    <n v="2"/>
    <n v="-2"/>
    <n v="0"/>
    <x v="15"/>
    <x v="1"/>
    <m/>
    <n v="0"/>
    <n v="1"/>
    <n v="457"/>
    <n v="26"/>
    <x v="0"/>
    <x v="0"/>
    <n v="2"/>
    <n v="85"/>
    <n v="2"/>
    <n v="1"/>
    <x v="2"/>
    <n v="2814"/>
    <n v="10293"/>
    <n v="1"/>
    <n v="14"/>
    <n v="3"/>
    <n v="2"/>
    <n v="80"/>
    <n v="0"/>
    <n v="4"/>
    <n v="2"/>
    <n v="4"/>
    <n v="2"/>
    <n v="1"/>
    <n v="3"/>
  </r>
  <r>
    <s v="No"/>
    <s v="Travel_Frequently"/>
    <x v="0"/>
    <s v="Current Employees"/>
    <x v="1"/>
    <x v="2"/>
    <x v="1266"/>
    <x v="1266"/>
    <x v="0"/>
    <x v="1"/>
    <x v="2"/>
    <s v="Yes"/>
    <s v="Y"/>
    <n v="3"/>
    <n v="-2"/>
    <n v="0"/>
    <x v="8"/>
    <x v="1"/>
    <m/>
    <n v="0"/>
    <n v="1"/>
    <n v="1394"/>
    <n v="8"/>
    <x v="3"/>
    <x v="0"/>
    <n v="4"/>
    <n v="58"/>
    <n v="2"/>
    <n v="2"/>
    <x v="1"/>
    <n v="2133"/>
    <n v="18115"/>
    <n v="1"/>
    <n v="16"/>
    <n v="3"/>
    <n v="3"/>
    <n v="80"/>
    <n v="1"/>
    <n v="20"/>
    <n v="3"/>
    <n v="20"/>
    <n v="11"/>
    <n v="0"/>
    <n v="7"/>
  </r>
  <r>
    <s v="No"/>
    <s v="Travel_Frequently"/>
    <x v="4"/>
    <s v="Current Employees"/>
    <x v="1"/>
    <x v="4"/>
    <x v="1267"/>
    <x v="1267"/>
    <x v="0"/>
    <x v="1"/>
    <x v="0"/>
    <s v="Yes"/>
    <s v="Y"/>
    <n v="2"/>
    <n v="-2"/>
    <n v="0"/>
    <x v="17"/>
    <x v="1"/>
    <m/>
    <n v="0"/>
    <n v="1"/>
    <n v="567"/>
    <n v="2"/>
    <x v="1"/>
    <x v="0"/>
    <n v="4"/>
    <n v="32"/>
    <n v="3"/>
    <n v="1"/>
    <x v="0"/>
    <n v="3760"/>
    <n v="17218"/>
    <n v="1"/>
    <n v="13"/>
    <n v="3"/>
    <n v="3"/>
    <n v="80"/>
    <n v="0"/>
    <n v="6"/>
    <n v="3"/>
    <n v="6"/>
    <n v="3"/>
    <n v="1"/>
    <n v="3"/>
  </r>
  <r>
    <s v="No"/>
    <s v="Travel_Frequently"/>
    <x v="2"/>
    <s v="Current Employees"/>
    <x v="1"/>
    <x v="0"/>
    <x v="1268"/>
    <x v="1268"/>
    <x v="0"/>
    <x v="2"/>
    <x v="0"/>
    <s v="Yes"/>
    <s v="Y"/>
    <n v="3"/>
    <n v="-2"/>
    <n v="0"/>
    <x v="4"/>
    <x v="1"/>
    <m/>
    <n v="0"/>
    <n v="1"/>
    <n v="1297"/>
    <n v="5"/>
    <x v="0"/>
    <x v="0"/>
    <n v="4"/>
    <n v="53"/>
    <n v="3"/>
    <n v="1"/>
    <x v="0"/>
    <n v="2379"/>
    <n v="19826"/>
    <n v="0"/>
    <n v="14"/>
    <n v="3"/>
    <n v="3"/>
    <n v="80"/>
    <n v="0"/>
    <n v="6"/>
    <n v="2"/>
    <n v="5"/>
    <n v="4"/>
    <n v="0"/>
    <n v="2"/>
  </r>
  <r>
    <s v="No"/>
    <s v="Travel_Rarely"/>
    <x v="0"/>
    <s v="Current Employees"/>
    <x v="2"/>
    <x v="0"/>
    <x v="1269"/>
    <x v="1269"/>
    <x v="0"/>
    <x v="8"/>
    <x v="2"/>
    <s v="Yes"/>
    <s v="Y"/>
    <n v="2"/>
    <n v="-2"/>
    <n v="0"/>
    <x v="20"/>
    <x v="1"/>
    <m/>
    <n v="0"/>
    <n v="1"/>
    <n v="528"/>
    <n v="1"/>
    <x v="3"/>
    <x v="0"/>
    <n v="3"/>
    <n v="44"/>
    <n v="3"/>
    <n v="1"/>
    <x v="0"/>
    <n v="3195"/>
    <n v="4167"/>
    <n v="4"/>
    <n v="18"/>
    <n v="3"/>
    <n v="1"/>
    <n v="80"/>
    <n v="3"/>
    <n v="8"/>
    <n v="3"/>
    <n v="2"/>
    <n v="2"/>
    <n v="2"/>
    <n v="2"/>
  </r>
  <r>
    <s v="No"/>
    <s v="Travel_Rarely"/>
    <x v="0"/>
    <s v="Current Employees"/>
    <x v="2"/>
    <x v="0"/>
    <x v="1270"/>
    <x v="1270"/>
    <x v="0"/>
    <x v="8"/>
    <x v="0"/>
    <s v="Yes"/>
    <s v="Y"/>
    <n v="2"/>
    <n v="-2"/>
    <n v="0"/>
    <x v="10"/>
    <x v="1"/>
    <m/>
    <n v="0"/>
    <n v="1"/>
    <n v="1146"/>
    <n v="26"/>
    <x v="2"/>
    <x v="0"/>
    <n v="3"/>
    <n v="31"/>
    <n v="3"/>
    <n v="3"/>
    <x v="0"/>
    <n v="8837"/>
    <n v="16642"/>
    <n v="1"/>
    <n v="16"/>
    <n v="3"/>
    <n v="3"/>
    <n v="80"/>
    <n v="0"/>
    <n v="9"/>
    <n v="3"/>
    <n v="9"/>
    <n v="0"/>
    <n v="1"/>
    <n v="7"/>
  </r>
  <r>
    <s v="No"/>
    <s v="Travel_Rarely"/>
    <x v="0"/>
    <s v="Current Employees"/>
    <x v="1"/>
    <x v="2"/>
    <x v="1271"/>
    <x v="1271"/>
    <x v="0"/>
    <x v="7"/>
    <x v="2"/>
    <s v="Yes"/>
    <s v="Y"/>
    <n v="4"/>
    <n v="-2"/>
    <n v="0"/>
    <x v="20"/>
    <x v="1"/>
    <m/>
    <n v="0"/>
    <n v="1"/>
    <n v="1313"/>
    <n v="7"/>
    <x v="3"/>
    <x v="0"/>
    <n v="2"/>
    <n v="31"/>
    <n v="3"/>
    <n v="5"/>
    <x v="0"/>
    <n v="19049"/>
    <n v="3549"/>
    <n v="0"/>
    <n v="14"/>
    <n v="3"/>
    <n v="4"/>
    <n v="80"/>
    <n v="1"/>
    <n v="23"/>
    <n v="2"/>
    <n v="22"/>
    <n v="7"/>
    <n v="1"/>
    <n v="10"/>
  </r>
  <r>
    <s v="No"/>
    <s v="Travel_Rarely"/>
    <x v="1"/>
    <s v="Current Employees"/>
    <x v="1"/>
    <x v="0"/>
    <x v="1272"/>
    <x v="1272"/>
    <x v="0"/>
    <x v="3"/>
    <x v="2"/>
    <s v="Yes"/>
    <s v="Y"/>
    <n v="4"/>
    <n v="-2"/>
    <n v="0"/>
    <x v="40"/>
    <x v="1"/>
    <m/>
    <n v="0"/>
    <n v="1"/>
    <n v="1001"/>
    <n v="4"/>
    <x v="3"/>
    <x v="0"/>
    <n v="3"/>
    <n v="92"/>
    <n v="2"/>
    <n v="3"/>
    <x v="1"/>
    <n v="10333"/>
    <n v="19271"/>
    <n v="8"/>
    <n v="12"/>
    <n v="3"/>
    <n v="3"/>
    <n v="80"/>
    <n v="1"/>
    <n v="28"/>
    <n v="3"/>
    <n v="22"/>
    <n v="11"/>
    <n v="14"/>
    <n v="10"/>
  </r>
  <r>
    <s v="No"/>
    <s v="Travel_Rarely"/>
    <x v="1"/>
    <s v="Current Employees"/>
    <x v="1"/>
    <x v="2"/>
    <x v="1273"/>
    <x v="1273"/>
    <x v="0"/>
    <x v="2"/>
    <x v="2"/>
    <s v="Yes"/>
    <s v="Y"/>
    <n v="2"/>
    <n v="-2"/>
    <n v="0"/>
    <x v="1"/>
    <x v="1"/>
    <m/>
    <n v="0"/>
    <n v="1"/>
    <n v="464"/>
    <n v="16"/>
    <x v="3"/>
    <x v="0"/>
    <n v="4"/>
    <n v="74"/>
    <n v="3"/>
    <n v="1"/>
    <x v="3"/>
    <n v="2587"/>
    <n v="24941"/>
    <n v="4"/>
    <n v="16"/>
    <n v="3"/>
    <n v="2"/>
    <n v="80"/>
    <n v="1"/>
    <n v="17"/>
    <n v="2"/>
    <n v="2"/>
    <n v="2"/>
    <n v="2"/>
    <n v="2"/>
  </r>
  <r>
    <s v="No"/>
    <s v="Travel_Rarely"/>
    <x v="2"/>
    <s v="Current Employees"/>
    <x v="1"/>
    <x v="2"/>
    <x v="1274"/>
    <x v="1274"/>
    <x v="0"/>
    <x v="2"/>
    <x v="2"/>
    <s v="Yes"/>
    <s v="Y"/>
    <n v="4"/>
    <n v="-2"/>
    <n v="0"/>
    <x v="12"/>
    <x v="1"/>
    <m/>
    <n v="0"/>
    <n v="1"/>
    <n v="1276"/>
    <n v="2"/>
    <x v="1"/>
    <x v="0"/>
    <n v="4"/>
    <n v="59"/>
    <n v="1"/>
    <n v="1"/>
    <x v="0"/>
    <n v="1129"/>
    <n v="17536"/>
    <n v="1"/>
    <n v="11"/>
    <n v="3"/>
    <n v="3"/>
    <n v="80"/>
    <n v="3"/>
    <n v="1"/>
    <n v="3"/>
    <n v="1"/>
    <n v="0"/>
    <n v="0"/>
    <n v="0"/>
  </r>
  <r>
    <s v="No"/>
    <s v="Travel_Rarely"/>
    <x v="0"/>
    <s v="Current Employees"/>
    <x v="1"/>
    <x v="1"/>
    <x v="1275"/>
    <x v="1275"/>
    <x v="0"/>
    <x v="3"/>
    <x v="1"/>
    <s v="Yes"/>
    <s v="Y"/>
    <n v="2"/>
    <n v="-2"/>
    <n v="0"/>
    <x v="10"/>
    <x v="1"/>
    <m/>
    <n v="0"/>
    <n v="1"/>
    <n v="219"/>
    <n v="16"/>
    <x v="0"/>
    <x v="0"/>
    <n v="4"/>
    <n v="44"/>
    <n v="2"/>
    <n v="2"/>
    <x v="1"/>
    <n v="4788"/>
    <n v="25388"/>
    <n v="0"/>
    <n v="11"/>
    <n v="3"/>
    <n v="4"/>
    <n v="80"/>
    <n v="0"/>
    <n v="4"/>
    <n v="3"/>
    <n v="3"/>
    <n v="2"/>
    <n v="0"/>
    <n v="2"/>
  </r>
  <r>
    <s v="No"/>
    <s v="Travel_Rarely"/>
    <x v="2"/>
    <s v="Current Employees"/>
    <x v="1"/>
    <x v="0"/>
    <x v="1276"/>
    <x v="1276"/>
    <x v="0"/>
    <x v="1"/>
    <x v="1"/>
    <s v="Yes"/>
    <s v="Y"/>
    <n v="3"/>
    <n v="-2"/>
    <n v="0"/>
    <x v="25"/>
    <x v="1"/>
    <m/>
    <n v="0"/>
    <n v="1"/>
    <n v="482"/>
    <n v="1"/>
    <x v="0"/>
    <x v="0"/>
    <n v="2"/>
    <n v="90"/>
    <n v="2"/>
    <n v="1"/>
    <x v="2"/>
    <n v="2933"/>
    <n v="14908"/>
    <n v="1"/>
    <n v="13"/>
    <n v="3"/>
    <n v="3"/>
    <n v="80"/>
    <n v="1"/>
    <n v="1"/>
    <n v="2"/>
    <n v="1"/>
    <n v="0"/>
    <n v="1"/>
    <n v="0"/>
  </r>
  <r>
    <s v="No"/>
    <s v="Travel_Rarely"/>
    <x v="0"/>
    <s v="Current Employees"/>
    <x v="1"/>
    <x v="0"/>
    <x v="1277"/>
    <x v="1277"/>
    <x v="0"/>
    <x v="3"/>
    <x v="1"/>
    <s v="Yes"/>
    <s v="Y"/>
    <n v="3"/>
    <n v="-2"/>
    <n v="0"/>
    <x v="32"/>
    <x v="1"/>
    <m/>
    <n v="0"/>
    <n v="1"/>
    <n v="369"/>
    <n v="8"/>
    <x v="0"/>
    <x v="0"/>
    <n v="2"/>
    <n v="92"/>
    <n v="3"/>
    <n v="2"/>
    <x v="3"/>
    <n v="6516"/>
    <n v="5041"/>
    <n v="2"/>
    <n v="16"/>
    <n v="3"/>
    <n v="2"/>
    <n v="80"/>
    <n v="1"/>
    <n v="18"/>
    <n v="3"/>
    <n v="1"/>
    <n v="0"/>
    <n v="0"/>
    <n v="0"/>
  </r>
  <r>
    <s v="No"/>
    <s v="Travel_Rarely"/>
    <x v="2"/>
    <s v="Current Employees"/>
    <x v="1"/>
    <x v="2"/>
    <x v="1278"/>
    <x v="1278"/>
    <x v="0"/>
    <x v="4"/>
    <x v="1"/>
    <s v="Yes"/>
    <s v="Y"/>
    <n v="6"/>
    <n v="-2"/>
    <n v="0"/>
    <x v="3"/>
    <x v="1"/>
    <m/>
    <n v="0"/>
    <n v="1"/>
    <n v="501"/>
    <n v="15"/>
    <x v="0"/>
    <x v="0"/>
    <n v="2"/>
    <n v="95"/>
    <n v="3"/>
    <n v="2"/>
    <x v="0"/>
    <n v="4878"/>
    <n v="21653"/>
    <n v="0"/>
    <n v="13"/>
    <n v="3"/>
    <n v="1"/>
    <n v="80"/>
    <n v="1"/>
    <n v="10"/>
    <n v="3"/>
    <n v="9"/>
    <n v="7"/>
    <n v="8"/>
    <n v="1"/>
  </r>
  <r>
    <s v="No"/>
    <s v="Travel_Rarely"/>
    <x v="1"/>
    <s v="Current Employees"/>
    <x v="1"/>
    <x v="0"/>
    <x v="1279"/>
    <x v="1279"/>
    <x v="0"/>
    <x v="4"/>
    <x v="1"/>
    <s v="Yes"/>
    <s v="Y"/>
    <n v="3"/>
    <n v="-2"/>
    <n v="0"/>
    <x v="1"/>
    <x v="1"/>
    <m/>
    <n v="0"/>
    <n v="1"/>
    <n v="465"/>
    <n v="6"/>
    <x v="1"/>
    <x v="0"/>
    <n v="3"/>
    <n v="41"/>
    <n v="2"/>
    <n v="4"/>
    <x v="2"/>
    <n v="13966"/>
    <n v="11652"/>
    <n v="2"/>
    <n v="19"/>
    <n v="3"/>
    <n v="2"/>
    <n v="80"/>
    <n v="1"/>
    <n v="30"/>
    <n v="3"/>
    <n v="15"/>
    <n v="11"/>
    <n v="2"/>
    <n v="12"/>
  </r>
  <r>
    <s v="No"/>
    <s v="Travel_Rarely"/>
    <x v="0"/>
    <s v="Current Employees"/>
    <x v="1"/>
    <x v="0"/>
    <x v="1280"/>
    <x v="1280"/>
    <x v="0"/>
    <x v="4"/>
    <x v="1"/>
    <s v="Yes"/>
    <s v="Y"/>
    <n v="2"/>
    <n v="-2"/>
    <n v="0"/>
    <x v="20"/>
    <x v="1"/>
    <m/>
    <n v="0"/>
    <n v="1"/>
    <n v="921"/>
    <n v="2"/>
    <x v="3"/>
    <x v="0"/>
    <n v="3"/>
    <n v="96"/>
    <n v="4"/>
    <n v="3"/>
    <x v="0"/>
    <n v="7879"/>
    <n v="14810"/>
    <n v="1"/>
    <n v="19"/>
    <n v="3"/>
    <n v="2"/>
    <n v="80"/>
    <n v="1"/>
    <n v="9"/>
    <n v="3"/>
    <n v="8"/>
    <n v="7"/>
    <n v="6"/>
    <n v="7"/>
  </r>
  <r>
    <s v="No"/>
    <s v="Travel_Rarely"/>
    <x v="0"/>
    <s v="Current Employees"/>
    <x v="1"/>
    <x v="2"/>
    <x v="1281"/>
    <x v="1281"/>
    <x v="0"/>
    <x v="3"/>
    <x v="1"/>
    <s v="Yes"/>
    <s v="Y"/>
    <n v="6"/>
    <n v="-2"/>
    <n v="0"/>
    <x v="8"/>
    <x v="1"/>
    <m/>
    <n v="0"/>
    <n v="1"/>
    <n v="397"/>
    <n v="2"/>
    <x v="0"/>
    <x v="0"/>
    <n v="4"/>
    <n v="54"/>
    <n v="2"/>
    <n v="3"/>
    <x v="2"/>
    <n v="7756"/>
    <n v="14199"/>
    <n v="3"/>
    <n v="19"/>
    <n v="3"/>
    <n v="4"/>
    <n v="80"/>
    <n v="1"/>
    <n v="10"/>
    <n v="4"/>
    <n v="5"/>
    <n v="4"/>
    <n v="0"/>
    <n v="2"/>
  </r>
  <r>
    <s v="No"/>
    <s v="Travel_Rarely"/>
    <x v="0"/>
    <s v="Current Employees"/>
    <x v="1"/>
    <x v="0"/>
    <x v="1282"/>
    <x v="1282"/>
    <x v="0"/>
    <x v="3"/>
    <x v="1"/>
    <s v="Yes"/>
    <s v="Y"/>
    <n v="2"/>
    <n v="-2"/>
    <n v="0"/>
    <x v="9"/>
    <x v="1"/>
    <m/>
    <n v="0"/>
    <n v="1"/>
    <n v="559"/>
    <n v="12"/>
    <x v="2"/>
    <x v="0"/>
    <n v="3"/>
    <n v="76"/>
    <n v="3"/>
    <n v="2"/>
    <x v="2"/>
    <n v="4663"/>
    <n v="12421"/>
    <n v="9"/>
    <n v="12"/>
    <n v="3"/>
    <n v="2"/>
    <n v="80"/>
    <n v="2"/>
    <n v="7"/>
    <n v="3"/>
    <n v="3"/>
    <n v="2"/>
    <n v="1"/>
    <n v="1"/>
  </r>
  <r>
    <s v="No"/>
    <s v="Travel_Rarely"/>
    <x v="0"/>
    <s v="Current Employees"/>
    <x v="1"/>
    <x v="2"/>
    <x v="1283"/>
    <x v="1283"/>
    <x v="0"/>
    <x v="4"/>
    <x v="0"/>
    <s v="Yes"/>
    <s v="Y"/>
    <n v="4"/>
    <n v="-2"/>
    <n v="0"/>
    <x v="10"/>
    <x v="1"/>
    <m/>
    <n v="0"/>
    <n v="1"/>
    <n v="670"/>
    <n v="10"/>
    <x v="2"/>
    <x v="0"/>
    <n v="1"/>
    <n v="51"/>
    <n v="3"/>
    <n v="2"/>
    <x v="2"/>
    <n v="6142"/>
    <n v="4223"/>
    <n v="3"/>
    <n v="16"/>
    <n v="3"/>
    <n v="3"/>
    <n v="80"/>
    <n v="0"/>
    <n v="10"/>
    <n v="3"/>
    <n v="5"/>
    <n v="2"/>
    <n v="0"/>
    <n v="4"/>
  </r>
  <r>
    <s v="No"/>
    <s v="Travel_Rarely"/>
    <x v="1"/>
    <s v="Current Employees"/>
    <x v="1"/>
    <x v="2"/>
    <x v="1284"/>
    <x v="1284"/>
    <x v="0"/>
    <x v="2"/>
    <x v="0"/>
    <s v="Yes"/>
    <s v="Y"/>
    <n v="3"/>
    <n v="-2"/>
    <n v="0"/>
    <x v="28"/>
    <x v="1"/>
    <m/>
    <n v="0"/>
    <n v="1"/>
    <n v="1015"/>
    <n v="5"/>
    <x v="4"/>
    <x v="0"/>
    <n v="3"/>
    <n v="50"/>
    <n v="1"/>
    <n v="2"/>
    <x v="3"/>
    <n v="5769"/>
    <n v="23447"/>
    <n v="1"/>
    <n v="14"/>
    <n v="3"/>
    <n v="1"/>
    <n v="80"/>
    <n v="0"/>
    <n v="10"/>
    <n v="3"/>
    <n v="10"/>
    <n v="7"/>
    <n v="1"/>
    <n v="4"/>
  </r>
  <r>
    <s v="No"/>
    <s v="Travel_Rarely"/>
    <x v="1"/>
    <s v="Current Employees"/>
    <x v="1"/>
    <x v="2"/>
    <x v="1285"/>
    <x v="1285"/>
    <x v="0"/>
    <x v="3"/>
    <x v="0"/>
    <s v="Yes"/>
    <s v="Y"/>
    <n v="3"/>
    <n v="-2"/>
    <n v="0"/>
    <x v="33"/>
    <x v="1"/>
    <m/>
    <n v="0"/>
    <n v="1"/>
    <n v="157"/>
    <n v="10"/>
    <x v="3"/>
    <x v="0"/>
    <n v="3"/>
    <n v="77"/>
    <n v="3"/>
    <n v="2"/>
    <x v="3"/>
    <n v="4440"/>
    <n v="25198"/>
    <n v="6"/>
    <n v="19"/>
    <n v="3"/>
    <n v="4"/>
    <n v="80"/>
    <n v="0"/>
    <n v="9"/>
    <n v="3"/>
    <n v="5"/>
    <n v="2"/>
    <n v="1"/>
    <n v="4"/>
  </r>
  <r>
    <s v="No"/>
    <s v="Travel_Rarely"/>
    <x v="0"/>
    <s v="Current Employees"/>
    <x v="1"/>
    <x v="0"/>
    <x v="1286"/>
    <x v="1286"/>
    <x v="0"/>
    <x v="3"/>
    <x v="0"/>
    <s v="Yes"/>
    <s v="Y"/>
    <n v="2"/>
    <n v="-2"/>
    <n v="0"/>
    <x v="32"/>
    <x v="1"/>
    <m/>
    <n v="0"/>
    <n v="1"/>
    <n v="448"/>
    <n v="16"/>
    <x v="3"/>
    <x v="0"/>
    <n v="3"/>
    <n v="84"/>
    <n v="3"/>
    <n v="3"/>
    <x v="0"/>
    <n v="7945"/>
    <n v="19948"/>
    <n v="6"/>
    <n v="15"/>
    <n v="3"/>
    <n v="4"/>
    <n v="80"/>
    <n v="0"/>
    <n v="18"/>
    <n v="2"/>
    <n v="4"/>
    <n v="2"/>
    <n v="3"/>
    <n v="3"/>
  </r>
  <r>
    <s v="No"/>
    <s v="Travel_Rarely"/>
    <x v="0"/>
    <s v="Current Employees"/>
    <x v="0"/>
    <x v="3"/>
    <x v="1287"/>
    <x v="1287"/>
    <x v="0"/>
    <x v="0"/>
    <x v="2"/>
    <s v="Yes"/>
    <s v="Y"/>
    <n v="3"/>
    <n v="-2"/>
    <n v="0"/>
    <x v="0"/>
    <x v="1"/>
    <m/>
    <n v="0"/>
    <n v="1"/>
    <n v="796"/>
    <n v="4"/>
    <x v="1"/>
    <x v="0"/>
    <n v="3"/>
    <n v="81"/>
    <n v="3"/>
    <n v="3"/>
    <x v="3"/>
    <n v="10447"/>
    <n v="26458"/>
    <n v="0"/>
    <n v="13"/>
    <n v="3"/>
    <n v="4"/>
    <n v="80"/>
    <n v="1"/>
    <n v="23"/>
    <n v="4"/>
    <n v="22"/>
    <n v="14"/>
    <n v="13"/>
    <n v="5"/>
  </r>
  <r>
    <s v="No"/>
    <s v="Travel_Rarely"/>
    <x v="2"/>
    <s v="Current Employees"/>
    <x v="0"/>
    <x v="2"/>
    <x v="1288"/>
    <x v="1288"/>
    <x v="0"/>
    <x v="0"/>
    <x v="2"/>
    <s v="Yes"/>
    <s v="Y"/>
    <n v="2"/>
    <n v="-2"/>
    <n v="0"/>
    <x v="12"/>
    <x v="1"/>
    <m/>
    <n v="0"/>
    <n v="1"/>
    <n v="1079"/>
    <n v="10"/>
    <x v="0"/>
    <x v="0"/>
    <n v="3"/>
    <n v="86"/>
    <n v="3"/>
    <n v="2"/>
    <x v="0"/>
    <n v="6583"/>
    <n v="20115"/>
    <n v="2"/>
    <n v="11"/>
    <n v="3"/>
    <n v="4"/>
    <n v="80"/>
    <n v="1"/>
    <n v="8"/>
    <n v="3"/>
    <n v="5"/>
    <n v="2"/>
    <n v="1"/>
    <n v="4"/>
  </r>
  <r>
    <s v="No"/>
    <s v="Travel_Rarely"/>
    <x v="0"/>
    <s v="Current Employees"/>
    <x v="0"/>
    <x v="0"/>
    <x v="1289"/>
    <x v="1289"/>
    <x v="0"/>
    <x v="0"/>
    <x v="1"/>
    <s v="Yes"/>
    <s v="Y"/>
    <n v="2"/>
    <n v="-2"/>
    <n v="0"/>
    <x v="10"/>
    <x v="1"/>
    <m/>
    <n v="0"/>
    <n v="1"/>
    <n v="1224"/>
    <n v="7"/>
    <x v="2"/>
    <x v="0"/>
    <n v="3"/>
    <n v="55"/>
    <n v="3"/>
    <n v="2"/>
    <x v="0"/>
    <n v="5204"/>
    <n v="13586"/>
    <n v="1"/>
    <n v="11"/>
    <n v="3"/>
    <n v="4"/>
    <n v="80"/>
    <n v="0"/>
    <n v="10"/>
    <n v="3"/>
    <n v="10"/>
    <n v="8"/>
    <n v="0"/>
    <n v="9"/>
  </r>
  <r>
    <s v="No"/>
    <s v="Travel_Rarely"/>
    <x v="2"/>
    <s v="Current Employees"/>
    <x v="0"/>
    <x v="2"/>
    <x v="1290"/>
    <x v="1290"/>
    <x v="0"/>
    <x v="0"/>
    <x v="1"/>
    <s v="Yes"/>
    <s v="Y"/>
    <n v="3"/>
    <n v="-2"/>
    <n v="0"/>
    <x v="13"/>
    <x v="1"/>
    <m/>
    <n v="0"/>
    <n v="1"/>
    <n v="735"/>
    <n v="3"/>
    <x v="1"/>
    <x v="0"/>
    <n v="4"/>
    <n v="75"/>
    <n v="2"/>
    <n v="2"/>
    <x v="0"/>
    <n v="8103"/>
    <n v="16495"/>
    <n v="3"/>
    <n v="12"/>
    <n v="3"/>
    <n v="3"/>
    <n v="80"/>
    <n v="0"/>
    <n v="9"/>
    <n v="2"/>
    <n v="4"/>
    <n v="2"/>
    <n v="0"/>
    <n v="1"/>
  </r>
  <r>
    <s v="No"/>
    <s v="Travel_Rarely"/>
    <x v="0"/>
    <s v="Current Employees"/>
    <x v="0"/>
    <x v="4"/>
    <x v="1291"/>
    <x v="1291"/>
    <x v="0"/>
    <x v="0"/>
    <x v="1"/>
    <s v="Yes"/>
    <s v="Y"/>
    <n v="4"/>
    <n v="-2"/>
    <n v="0"/>
    <x v="9"/>
    <x v="1"/>
    <m/>
    <n v="0"/>
    <n v="1"/>
    <n v="1266"/>
    <n v="10"/>
    <x v="2"/>
    <x v="0"/>
    <n v="4"/>
    <n v="63"/>
    <n v="2"/>
    <n v="2"/>
    <x v="0"/>
    <n v="5673"/>
    <n v="6060"/>
    <n v="1"/>
    <n v="13"/>
    <n v="3"/>
    <n v="1"/>
    <n v="80"/>
    <n v="1"/>
    <n v="10"/>
    <n v="3"/>
    <n v="10"/>
    <n v="9"/>
    <n v="1"/>
    <n v="7"/>
  </r>
  <r>
    <s v="No"/>
    <s v="Travel_Rarely"/>
    <x v="1"/>
    <s v="Current Employees"/>
    <x v="0"/>
    <x v="2"/>
    <x v="1292"/>
    <x v="1292"/>
    <x v="0"/>
    <x v="0"/>
    <x v="1"/>
    <s v="Yes"/>
    <s v="Y"/>
    <n v="4"/>
    <n v="-2"/>
    <n v="0"/>
    <x v="40"/>
    <x v="1"/>
    <m/>
    <n v="0"/>
    <n v="1"/>
    <n v="571"/>
    <n v="14"/>
    <x v="3"/>
    <x v="0"/>
    <n v="3"/>
    <n v="78"/>
    <n v="3"/>
    <n v="2"/>
    <x v="2"/>
    <n v="4591"/>
    <n v="24200"/>
    <n v="3"/>
    <n v="17"/>
    <n v="3"/>
    <n v="3"/>
    <n v="80"/>
    <n v="1"/>
    <n v="11"/>
    <n v="2"/>
    <n v="5"/>
    <n v="4"/>
    <n v="1"/>
    <n v="2"/>
  </r>
  <r>
    <s v="No"/>
    <s v="Travel_Rarely"/>
    <x v="3"/>
    <s v="Current Employees"/>
    <x v="0"/>
    <x v="0"/>
    <x v="1293"/>
    <x v="1293"/>
    <x v="0"/>
    <x v="5"/>
    <x v="1"/>
    <s v="Yes"/>
    <s v="Y"/>
    <n v="2"/>
    <n v="-2"/>
    <n v="0"/>
    <x v="34"/>
    <x v="1"/>
    <m/>
    <n v="0"/>
    <n v="1"/>
    <n v="605"/>
    <n v="21"/>
    <x v="3"/>
    <x v="0"/>
    <n v="4"/>
    <n v="72"/>
    <n v="3"/>
    <n v="4"/>
    <x v="0"/>
    <n v="17875"/>
    <n v="11761"/>
    <n v="4"/>
    <n v="13"/>
    <n v="3"/>
    <n v="3"/>
    <n v="80"/>
    <n v="1"/>
    <n v="29"/>
    <n v="2"/>
    <n v="1"/>
    <n v="0"/>
    <n v="0"/>
    <n v="0"/>
  </r>
  <r>
    <s v="No"/>
    <s v="Travel_Rarely"/>
    <x v="4"/>
    <s v="Current Employees"/>
    <x v="0"/>
    <x v="2"/>
    <x v="1294"/>
    <x v="1294"/>
    <x v="0"/>
    <x v="0"/>
    <x v="1"/>
    <s v="Yes"/>
    <s v="Y"/>
    <n v="3"/>
    <n v="-2"/>
    <n v="0"/>
    <x v="17"/>
    <x v="1"/>
    <m/>
    <n v="0"/>
    <n v="1"/>
    <n v="1476"/>
    <n v="4"/>
    <x v="1"/>
    <x v="0"/>
    <n v="4"/>
    <n v="42"/>
    <n v="3"/>
    <n v="2"/>
    <x v="2"/>
    <n v="4162"/>
    <n v="15211"/>
    <n v="1"/>
    <n v="12"/>
    <n v="3"/>
    <n v="3"/>
    <n v="80"/>
    <n v="2"/>
    <n v="5"/>
    <n v="3"/>
    <n v="5"/>
    <n v="4"/>
    <n v="0"/>
    <n v="3"/>
  </r>
  <r>
    <s v="No"/>
    <s v="Travel_Rarely"/>
    <x v="0"/>
    <s v="Current Employees"/>
    <x v="0"/>
    <x v="3"/>
    <x v="1295"/>
    <x v="1295"/>
    <x v="0"/>
    <x v="0"/>
    <x v="0"/>
    <s v="Yes"/>
    <s v="Y"/>
    <n v="3"/>
    <n v="-2"/>
    <n v="0"/>
    <x v="9"/>
    <x v="1"/>
    <m/>
    <n v="0"/>
    <n v="1"/>
    <n v="1174"/>
    <n v="3"/>
    <x v="2"/>
    <x v="0"/>
    <n v="1"/>
    <n v="99"/>
    <n v="3"/>
    <n v="2"/>
    <x v="3"/>
    <n v="9278"/>
    <n v="20763"/>
    <n v="3"/>
    <n v="16"/>
    <n v="3"/>
    <n v="4"/>
    <n v="80"/>
    <n v="0"/>
    <n v="15"/>
    <n v="3"/>
    <n v="5"/>
    <n v="4"/>
    <n v="0"/>
    <n v="1"/>
  </r>
  <r>
    <s v="No"/>
    <s v="Non-Travel"/>
    <x v="0"/>
    <s v="Current Employees"/>
    <x v="1"/>
    <x v="0"/>
    <x v="1296"/>
    <x v="1296"/>
    <x v="1"/>
    <x v="4"/>
    <x v="2"/>
    <s v="Yes"/>
    <s v="Y"/>
    <n v="2"/>
    <n v="-2"/>
    <n v="0"/>
    <x v="32"/>
    <x v="1"/>
    <m/>
    <n v="0"/>
    <n v="1"/>
    <n v="1142"/>
    <n v="8"/>
    <x v="0"/>
    <x v="0"/>
    <n v="4"/>
    <n v="72"/>
    <n v="3"/>
    <n v="2"/>
    <x v="0"/>
    <n v="4069"/>
    <n v="8841"/>
    <n v="3"/>
    <n v="18"/>
    <n v="3"/>
    <n v="3"/>
    <n v="80"/>
    <n v="0"/>
    <n v="8"/>
    <n v="3"/>
    <n v="2"/>
    <n v="2"/>
    <n v="2"/>
    <n v="2"/>
  </r>
  <r>
    <s v="No"/>
    <s v="Non-Travel"/>
    <x v="2"/>
    <s v="Current Employees"/>
    <x v="1"/>
    <x v="2"/>
    <x v="1297"/>
    <x v="1297"/>
    <x v="1"/>
    <x v="1"/>
    <x v="2"/>
    <s v="Yes"/>
    <s v="Y"/>
    <n v="3"/>
    <n v="-2"/>
    <n v="0"/>
    <x v="12"/>
    <x v="1"/>
    <m/>
    <n v="0"/>
    <n v="1"/>
    <n v="976"/>
    <n v="3"/>
    <x v="0"/>
    <x v="0"/>
    <n v="3"/>
    <n v="48"/>
    <n v="3"/>
    <n v="1"/>
    <x v="3"/>
    <n v="3065"/>
    <n v="3995"/>
    <n v="1"/>
    <n v="13"/>
    <n v="3"/>
    <n v="4"/>
    <n v="80"/>
    <n v="1"/>
    <n v="4"/>
    <n v="4"/>
    <n v="4"/>
    <n v="2"/>
    <n v="2"/>
    <n v="3"/>
  </r>
  <r>
    <s v="No"/>
    <s v="Non-Travel"/>
    <x v="0"/>
    <s v="Current Employees"/>
    <x v="1"/>
    <x v="0"/>
    <x v="1298"/>
    <x v="1298"/>
    <x v="1"/>
    <x v="2"/>
    <x v="1"/>
    <s v="Yes"/>
    <s v="Y"/>
    <n v="2"/>
    <n v="-2"/>
    <n v="0"/>
    <x v="22"/>
    <x v="1"/>
    <m/>
    <n v="0"/>
    <n v="1"/>
    <n v="792"/>
    <n v="1"/>
    <x v="3"/>
    <x v="0"/>
    <n v="4"/>
    <n v="77"/>
    <n v="3"/>
    <n v="2"/>
    <x v="0"/>
    <n v="6472"/>
    <n v="8989"/>
    <n v="1"/>
    <n v="15"/>
    <n v="3"/>
    <n v="4"/>
    <n v="80"/>
    <n v="1"/>
    <n v="9"/>
    <n v="3"/>
    <n v="9"/>
    <n v="8"/>
    <n v="5"/>
    <n v="8"/>
  </r>
  <r>
    <s v="No"/>
    <s v="Non-Travel"/>
    <x v="2"/>
    <s v="Current Employees"/>
    <x v="0"/>
    <x v="0"/>
    <x v="1299"/>
    <x v="1299"/>
    <x v="1"/>
    <x v="0"/>
    <x v="2"/>
    <s v="Yes"/>
    <s v="Y"/>
    <n v="3"/>
    <n v="-2"/>
    <n v="0"/>
    <x v="13"/>
    <x v="1"/>
    <m/>
    <n v="0"/>
    <n v="1"/>
    <n v="1375"/>
    <n v="10"/>
    <x v="3"/>
    <x v="0"/>
    <n v="4"/>
    <n v="87"/>
    <n v="3"/>
    <n v="2"/>
    <x v="2"/>
    <n v="4001"/>
    <n v="12313"/>
    <n v="1"/>
    <n v="14"/>
    <n v="3"/>
    <n v="3"/>
    <n v="80"/>
    <n v="1"/>
    <n v="15"/>
    <n v="3"/>
    <n v="15"/>
    <n v="14"/>
    <n v="0"/>
    <n v="7"/>
  </r>
  <r>
    <s v="No"/>
    <s v="Travel_Frequently"/>
    <x v="0"/>
    <s v="Current Employees"/>
    <x v="2"/>
    <x v="5"/>
    <x v="1300"/>
    <x v="1300"/>
    <x v="1"/>
    <x v="8"/>
    <x v="1"/>
    <s v="Yes"/>
    <s v="Y"/>
    <n v="3"/>
    <n v="-2"/>
    <n v="0"/>
    <x v="20"/>
    <x v="1"/>
    <m/>
    <n v="0"/>
    <n v="1"/>
    <n v="602"/>
    <n v="1"/>
    <x v="4"/>
    <x v="0"/>
    <n v="1"/>
    <n v="37"/>
    <n v="3"/>
    <n v="2"/>
    <x v="0"/>
    <n v="5743"/>
    <n v="10503"/>
    <n v="4"/>
    <n v="11"/>
    <n v="3"/>
    <n v="3"/>
    <n v="80"/>
    <n v="0"/>
    <n v="14"/>
    <n v="3"/>
    <n v="10"/>
    <n v="7"/>
    <n v="0"/>
    <n v="2"/>
  </r>
  <r>
    <s v="No"/>
    <s v="Travel_Frequently"/>
    <x v="0"/>
    <s v="Current Employees"/>
    <x v="2"/>
    <x v="1"/>
    <x v="1301"/>
    <x v="1301"/>
    <x v="1"/>
    <x v="8"/>
    <x v="1"/>
    <s v="Yes"/>
    <s v="Y"/>
    <n v="2"/>
    <n v="-2"/>
    <n v="0"/>
    <x v="8"/>
    <x v="1"/>
    <m/>
    <n v="0"/>
    <n v="1"/>
    <n v="1444"/>
    <n v="1"/>
    <x v="2"/>
    <x v="0"/>
    <n v="4"/>
    <n v="88"/>
    <n v="3"/>
    <n v="1"/>
    <x v="1"/>
    <n v="2991"/>
    <n v="5224"/>
    <n v="0"/>
    <n v="11"/>
    <n v="3"/>
    <n v="2"/>
    <n v="80"/>
    <n v="1"/>
    <n v="7"/>
    <n v="3"/>
    <n v="6"/>
    <n v="2"/>
    <n v="1"/>
    <n v="2"/>
  </r>
  <r>
    <s v="No"/>
    <s v="Travel_Frequently"/>
    <x v="3"/>
    <s v="Current Employees"/>
    <x v="1"/>
    <x v="0"/>
    <x v="1302"/>
    <x v="1302"/>
    <x v="1"/>
    <x v="7"/>
    <x v="1"/>
    <s v="Yes"/>
    <s v="Y"/>
    <n v="3"/>
    <n v="-2"/>
    <n v="0"/>
    <x v="34"/>
    <x v="1"/>
    <m/>
    <n v="0"/>
    <n v="1"/>
    <n v="1216"/>
    <n v="15"/>
    <x v="2"/>
    <x v="0"/>
    <n v="1"/>
    <n v="87"/>
    <n v="3"/>
    <n v="4"/>
    <x v="2"/>
    <n v="15787"/>
    <n v="21624"/>
    <n v="2"/>
    <n v="14"/>
    <n v="3"/>
    <n v="2"/>
    <n v="80"/>
    <n v="0"/>
    <n v="23"/>
    <n v="3"/>
    <n v="2"/>
    <n v="2"/>
    <n v="2"/>
    <n v="2"/>
  </r>
  <r>
    <s v="No"/>
    <s v="Travel_Frequently"/>
    <x v="2"/>
    <s v="Current Employees"/>
    <x v="1"/>
    <x v="1"/>
    <x v="1303"/>
    <x v="1303"/>
    <x v="1"/>
    <x v="1"/>
    <x v="1"/>
    <s v="Yes"/>
    <s v="Y"/>
    <n v="3"/>
    <n v="-2"/>
    <n v="0"/>
    <x v="13"/>
    <x v="1"/>
    <m/>
    <n v="0"/>
    <n v="1"/>
    <n v="735"/>
    <n v="22"/>
    <x v="2"/>
    <x v="0"/>
    <n v="3"/>
    <n v="86"/>
    <n v="2"/>
    <n v="2"/>
    <x v="0"/>
    <n v="5747"/>
    <n v="26496"/>
    <n v="1"/>
    <n v="15"/>
    <n v="3"/>
    <n v="2"/>
    <n v="80"/>
    <n v="0"/>
    <n v="16"/>
    <n v="3"/>
    <n v="15"/>
    <n v="10"/>
    <n v="6"/>
    <n v="11"/>
  </r>
  <r>
    <s v="No"/>
    <s v="Travel_Frequently"/>
    <x v="0"/>
    <s v="Current Employees"/>
    <x v="1"/>
    <x v="0"/>
    <x v="1304"/>
    <x v="1304"/>
    <x v="1"/>
    <x v="2"/>
    <x v="1"/>
    <s v="Yes"/>
    <s v="Y"/>
    <n v="3"/>
    <n v="-2"/>
    <n v="0"/>
    <x v="9"/>
    <x v="1"/>
    <m/>
    <n v="0"/>
    <n v="1"/>
    <n v="1302"/>
    <n v="6"/>
    <x v="2"/>
    <x v="0"/>
    <n v="1"/>
    <n v="80"/>
    <n v="4"/>
    <n v="2"/>
    <x v="3"/>
    <n v="5562"/>
    <n v="19711"/>
    <n v="3"/>
    <n v="13"/>
    <n v="3"/>
    <n v="4"/>
    <n v="80"/>
    <n v="1"/>
    <n v="9"/>
    <n v="3"/>
    <n v="3"/>
    <n v="2"/>
    <n v="0"/>
    <n v="2"/>
  </r>
  <r>
    <s v="No"/>
    <s v="Travel_Frequently"/>
    <x v="1"/>
    <s v="Current Employees"/>
    <x v="1"/>
    <x v="2"/>
    <x v="1305"/>
    <x v="1305"/>
    <x v="1"/>
    <x v="4"/>
    <x v="1"/>
    <s v="Yes"/>
    <s v="Y"/>
    <n v="3"/>
    <n v="-2"/>
    <n v="0"/>
    <x v="24"/>
    <x v="1"/>
    <m/>
    <n v="0"/>
    <n v="1"/>
    <n v="1234"/>
    <n v="20"/>
    <x v="4"/>
    <x v="0"/>
    <n v="2"/>
    <n v="41"/>
    <n v="3"/>
    <n v="4"/>
    <x v="2"/>
    <n v="11245"/>
    <n v="20689"/>
    <n v="2"/>
    <n v="15"/>
    <n v="3"/>
    <n v="3"/>
    <n v="80"/>
    <n v="1"/>
    <n v="32"/>
    <n v="3"/>
    <n v="30"/>
    <n v="8"/>
    <n v="12"/>
    <n v="13"/>
  </r>
  <r>
    <s v="No"/>
    <s v="Travel_Frequently"/>
    <x v="0"/>
    <s v="Current Employees"/>
    <x v="1"/>
    <x v="0"/>
    <x v="1306"/>
    <x v="1306"/>
    <x v="1"/>
    <x v="4"/>
    <x v="1"/>
    <s v="Yes"/>
    <s v="Y"/>
    <n v="3"/>
    <n v="-2"/>
    <n v="0"/>
    <x v="19"/>
    <x v="1"/>
    <m/>
    <n v="0"/>
    <n v="1"/>
    <n v="288"/>
    <n v="2"/>
    <x v="3"/>
    <x v="0"/>
    <n v="4"/>
    <n v="40"/>
    <n v="3"/>
    <n v="3"/>
    <x v="0"/>
    <n v="10124"/>
    <n v="18611"/>
    <n v="2"/>
    <n v="14"/>
    <n v="3"/>
    <n v="3"/>
    <n v="80"/>
    <n v="1"/>
    <n v="24"/>
    <n v="1"/>
    <n v="20"/>
    <n v="8"/>
    <n v="13"/>
    <n v="9"/>
  </r>
  <r>
    <s v="No"/>
    <s v="Travel_Frequently"/>
    <x v="0"/>
    <s v="Current Employees"/>
    <x v="1"/>
    <x v="0"/>
    <x v="1307"/>
    <x v="1307"/>
    <x v="1"/>
    <x v="4"/>
    <x v="1"/>
    <s v="Yes"/>
    <s v="Y"/>
    <n v="2"/>
    <n v="-2"/>
    <n v="0"/>
    <x v="10"/>
    <x v="1"/>
    <m/>
    <n v="0"/>
    <n v="1"/>
    <n v="1199"/>
    <n v="18"/>
    <x v="2"/>
    <x v="0"/>
    <n v="3"/>
    <n v="80"/>
    <n v="3"/>
    <n v="2"/>
    <x v="2"/>
    <n v="5689"/>
    <n v="24594"/>
    <n v="1"/>
    <n v="14"/>
    <n v="3"/>
    <n v="4"/>
    <n v="80"/>
    <n v="2"/>
    <n v="10"/>
    <n v="4"/>
    <n v="10"/>
    <n v="2"/>
    <n v="0"/>
    <n v="2"/>
  </r>
  <r>
    <s v="No"/>
    <s v="Travel_Frequently"/>
    <x v="0"/>
    <s v="Current Employees"/>
    <x v="1"/>
    <x v="2"/>
    <x v="1308"/>
    <x v="1308"/>
    <x v="1"/>
    <x v="1"/>
    <x v="0"/>
    <s v="Yes"/>
    <s v="Y"/>
    <n v="2"/>
    <n v="-2"/>
    <n v="0"/>
    <x v="10"/>
    <x v="1"/>
    <m/>
    <n v="0"/>
    <n v="1"/>
    <n v="146"/>
    <n v="2"/>
    <x v="2"/>
    <x v="0"/>
    <n v="1"/>
    <n v="79"/>
    <n v="2"/>
    <n v="1"/>
    <x v="0"/>
    <n v="4930"/>
    <n v="13970"/>
    <n v="0"/>
    <n v="14"/>
    <n v="3"/>
    <n v="3"/>
    <n v="80"/>
    <n v="0"/>
    <n v="6"/>
    <n v="4"/>
    <n v="5"/>
    <n v="4"/>
    <n v="1"/>
    <n v="4"/>
  </r>
  <r>
    <s v="No"/>
    <s v="Travel_Frequently"/>
    <x v="0"/>
    <s v="Current Employees"/>
    <x v="1"/>
    <x v="2"/>
    <x v="1309"/>
    <x v="1309"/>
    <x v="1"/>
    <x v="3"/>
    <x v="0"/>
    <s v="Yes"/>
    <s v="Y"/>
    <n v="2"/>
    <n v="-2"/>
    <n v="0"/>
    <x v="20"/>
    <x v="1"/>
    <m/>
    <n v="0"/>
    <n v="1"/>
    <n v="1193"/>
    <n v="2"/>
    <x v="1"/>
    <x v="0"/>
    <n v="2"/>
    <n v="86"/>
    <n v="3"/>
    <n v="3"/>
    <x v="2"/>
    <n v="10209"/>
    <n v="19719"/>
    <n v="5"/>
    <n v="18"/>
    <n v="3"/>
    <n v="2"/>
    <n v="80"/>
    <n v="0"/>
    <n v="16"/>
    <n v="2"/>
    <n v="2"/>
    <n v="2"/>
    <n v="2"/>
    <n v="2"/>
  </r>
  <r>
    <s v="No"/>
    <s v="Travel_Frequently"/>
    <x v="1"/>
    <s v="Current Employees"/>
    <x v="1"/>
    <x v="2"/>
    <x v="1310"/>
    <x v="1310"/>
    <x v="1"/>
    <x v="7"/>
    <x v="0"/>
    <s v="Yes"/>
    <s v="Y"/>
    <n v="2"/>
    <n v="-2"/>
    <n v="0"/>
    <x v="24"/>
    <x v="1"/>
    <m/>
    <n v="0"/>
    <n v="1"/>
    <n v="333"/>
    <n v="22"/>
    <x v="4"/>
    <x v="0"/>
    <n v="3"/>
    <n v="88"/>
    <n v="1"/>
    <n v="4"/>
    <x v="0"/>
    <n v="14411"/>
    <n v="24450"/>
    <n v="1"/>
    <n v="13"/>
    <n v="3"/>
    <n v="4"/>
    <n v="80"/>
    <n v="0"/>
    <n v="32"/>
    <n v="3"/>
    <n v="32"/>
    <n v="6"/>
    <n v="13"/>
    <n v="9"/>
  </r>
  <r>
    <s v="No"/>
    <s v="Travel_Frequently"/>
    <x v="2"/>
    <s v="Current Employees"/>
    <x v="1"/>
    <x v="0"/>
    <x v="1311"/>
    <x v="1311"/>
    <x v="1"/>
    <x v="4"/>
    <x v="0"/>
    <s v="Yes"/>
    <s v="Y"/>
    <n v="5"/>
    <n v="-2"/>
    <n v="0"/>
    <x v="11"/>
    <x v="1"/>
    <m/>
    <n v="0"/>
    <n v="1"/>
    <n v="461"/>
    <n v="1"/>
    <x v="3"/>
    <x v="0"/>
    <n v="4"/>
    <n v="70"/>
    <n v="4"/>
    <n v="2"/>
    <x v="2"/>
    <n v="6294"/>
    <n v="23060"/>
    <n v="8"/>
    <n v="12"/>
    <n v="3"/>
    <n v="4"/>
    <n v="80"/>
    <n v="0"/>
    <n v="10"/>
    <n v="4"/>
    <n v="3"/>
    <n v="2"/>
    <n v="0"/>
    <n v="2"/>
  </r>
  <r>
    <s v="No"/>
    <s v="Travel_Frequently"/>
    <x v="2"/>
    <s v="Current Employees"/>
    <x v="0"/>
    <x v="0"/>
    <x v="1312"/>
    <x v="1312"/>
    <x v="1"/>
    <x v="0"/>
    <x v="1"/>
    <s v="Yes"/>
    <s v="Y"/>
    <n v="2"/>
    <n v="-2"/>
    <n v="0"/>
    <x v="14"/>
    <x v="1"/>
    <m/>
    <n v="0"/>
    <n v="1"/>
    <n v="783"/>
    <n v="1"/>
    <x v="0"/>
    <x v="0"/>
    <n v="3"/>
    <n v="42"/>
    <n v="2"/>
    <n v="2"/>
    <x v="0"/>
    <n v="6834"/>
    <n v="19255"/>
    <n v="1"/>
    <n v="12"/>
    <n v="3"/>
    <n v="3"/>
    <n v="80"/>
    <n v="1"/>
    <n v="7"/>
    <n v="3"/>
    <n v="7"/>
    <n v="7"/>
    <n v="0"/>
    <n v="7"/>
  </r>
  <r>
    <s v="No"/>
    <s v="Travel_Rarely"/>
    <x v="3"/>
    <s v="Current Employees"/>
    <x v="2"/>
    <x v="5"/>
    <x v="1313"/>
    <x v="1313"/>
    <x v="1"/>
    <x v="5"/>
    <x v="1"/>
    <s v="Yes"/>
    <s v="Y"/>
    <n v="0"/>
    <n v="-2"/>
    <n v="0"/>
    <x v="27"/>
    <x v="1"/>
    <m/>
    <n v="0"/>
    <n v="1"/>
    <n v="189"/>
    <n v="26"/>
    <x v="2"/>
    <x v="0"/>
    <n v="3"/>
    <n v="71"/>
    <n v="4"/>
    <n v="5"/>
    <x v="1"/>
    <n v="19636"/>
    <n v="25811"/>
    <n v="4"/>
    <n v="18"/>
    <n v="3"/>
    <n v="1"/>
    <n v="80"/>
    <n v="1"/>
    <n v="35"/>
    <n v="3"/>
    <n v="10"/>
    <n v="9"/>
    <n v="1"/>
    <n v="4"/>
  </r>
  <r>
    <s v="No"/>
    <s v="Travel_Rarely"/>
    <x v="1"/>
    <s v="Current Employees"/>
    <x v="1"/>
    <x v="2"/>
    <x v="1314"/>
    <x v="1314"/>
    <x v="1"/>
    <x v="4"/>
    <x v="2"/>
    <s v="Yes"/>
    <s v="Y"/>
    <n v="2"/>
    <n v="-2"/>
    <n v="0"/>
    <x v="28"/>
    <x v="1"/>
    <m/>
    <n v="0"/>
    <n v="1"/>
    <n v="1038"/>
    <n v="20"/>
    <x v="3"/>
    <x v="0"/>
    <n v="2"/>
    <n v="95"/>
    <n v="1"/>
    <n v="3"/>
    <x v="3"/>
    <n v="10851"/>
    <n v="19863"/>
    <n v="2"/>
    <n v="18"/>
    <n v="3"/>
    <n v="2"/>
    <n v="80"/>
    <n v="1"/>
    <n v="24"/>
    <n v="3"/>
    <n v="7"/>
    <n v="7"/>
    <n v="0"/>
    <n v="7"/>
  </r>
  <r>
    <s v="No"/>
    <s v="Travel_Rarely"/>
    <x v="1"/>
    <s v="Current Employees"/>
    <x v="1"/>
    <x v="2"/>
    <x v="1315"/>
    <x v="1315"/>
    <x v="1"/>
    <x v="7"/>
    <x v="2"/>
    <s v="Yes"/>
    <s v="Y"/>
    <n v="3"/>
    <n v="-2"/>
    <n v="0"/>
    <x v="21"/>
    <x v="1"/>
    <m/>
    <n v="0"/>
    <n v="1"/>
    <n v="734"/>
    <n v="2"/>
    <x v="2"/>
    <x v="0"/>
    <n v="3"/>
    <n v="46"/>
    <n v="3"/>
    <n v="5"/>
    <x v="0"/>
    <n v="19328"/>
    <n v="14218"/>
    <n v="7"/>
    <n v="17"/>
    <n v="3"/>
    <n v="3"/>
    <n v="80"/>
    <n v="1"/>
    <n v="24"/>
    <n v="3"/>
    <n v="2"/>
    <n v="1"/>
    <n v="2"/>
    <n v="2"/>
  </r>
  <r>
    <s v="No"/>
    <s v="Travel_Rarely"/>
    <x v="0"/>
    <s v="Current Employees"/>
    <x v="1"/>
    <x v="0"/>
    <x v="1316"/>
    <x v="1316"/>
    <x v="1"/>
    <x v="1"/>
    <x v="2"/>
    <s v="Yes"/>
    <s v="Y"/>
    <n v="3"/>
    <n v="-2"/>
    <n v="0"/>
    <x v="19"/>
    <x v="1"/>
    <m/>
    <n v="0"/>
    <n v="1"/>
    <n v="557"/>
    <n v="18"/>
    <x v="2"/>
    <x v="0"/>
    <n v="4"/>
    <n v="35"/>
    <n v="3"/>
    <n v="2"/>
    <x v="3"/>
    <n v="5410"/>
    <n v="11189"/>
    <n v="6"/>
    <n v="17"/>
    <n v="3"/>
    <n v="3"/>
    <n v="80"/>
    <n v="1"/>
    <n v="9"/>
    <n v="2"/>
    <n v="4"/>
    <n v="3"/>
    <n v="1"/>
    <n v="2"/>
  </r>
  <r>
    <s v="No"/>
    <s v="Travel_Rarely"/>
    <x v="2"/>
    <s v="Current Employees"/>
    <x v="1"/>
    <x v="1"/>
    <x v="1317"/>
    <x v="1317"/>
    <x v="1"/>
    <x v="2"/>
    <x v="2"/>
    <s v="Yes"/>
    <s v="Y"/>
    <n v="2"/>
    <n v="-2"/>
    <n v="0"/>
    <x v="36"/>
    <x v="1"/>
    <m/>
    <n v="0"/>
    <n v="1"/>
    <n v="977"/>
    <n v="2"/>
    <x v="1"/>
    <x v="0"/>
    <n v="4"/>
    <n v="57"/>
    <n v="3"/>
    <n v="1"/>
    <x v="2"/>
    <n v="3977"/>
    <n v="7298"/>
    <n v="6"/>
    <n v="19"/>
    <n v="3"/>
    <n v="3"/>
    <n v="80"/>
    <n v="1"/>
    <n v="7"/>
    <n v="2"/>
    <n v="2"/>
    <n v="2"/>
    <n v="0"/>
    <n v="2"/>
  </r>
  <r>
    <s v="No"/>
    <s v="Travel_Rarely"/>
    <x v="0"/>
    <s v="Current Employees"/>
    <x v="1"/>
    <x v="2"/>
    <x v="1318"/>
    <x v="1318"/>
    <x v="1"/>
    <x v="1"/>
    <x v="1"/>
    <s v="Yes"/>
    <s v="Y"/>
    <n v="5"/>
    <n v="-2"/>
    <n v="0"/>
    <x v="0"/>
    <x v="1"/>
    <m/>
    <n v="0"/>
    <n v="1"/>
    <n v="1283"/>
    <n v="5"/>
    <x v="4"/>
    <x v="0"/>
    <n v="2"/>
    <n v="90"/>
    <n v="4"/>
    <n v="1"/>
    <x v="2"/>
    <n v="2127"/>
    <n v="5561"/>
    <n v="2"/>
    <n v="12"/>
    <n v="3"/>
    <n v="1"/>
    <n v="80"/>
    <n v="0"/>
    <n v="7"/>
    <n v="2"/>
    <n v="4"/>
    <n v="2"/>
    <n v="0"/>
    <n v="3"/>
  </r>
  <r>
    <s v="No"/>
    <s v="Travel_Rarely"/>
    <x v="3"/>
    <s v="Current Employees"/>
    <x v="1"/>
    <x v="0"/>
    <x v="1319"/>
    <x v="1319"/>
    <x v="1"/>
    <x v="4"/>
    <x v="1"/>
    <s v="Yes"/>
    <s v="Y"/>
    <n v="2"/>
    <n v="-2"/>
    <n v="0"/>
    <x v="27"/>
    <x v="1"/>
    <m/>
    <n v="0"/>
    <n v="1"/>
    <n v="1229"/>
    <n v="4"/>
    <x v="2"/>
    <x v="0"/>
    <n v="4"/>
    <n v="30"/>
    <n v="3"/>
    <n v="2"/>
    <x v="2"/>
    <n v="4035"/>
    <n v="16143"/>
    <n v="0"/>
    <n v="16"/>
    <n v="3"/>
    <n v="2"/>
    <n v="80"/>
    <n v="0"/>
    <n v="4"/>
    <n v="3"/>
    <n v="3"/>
    <n v="2"/>
    <n v="1"/>
    <n v="2"/>
  </r>
  <r>
    <s v="No"/>
    <s v="Travel_Rarely"/>
    <x v="0"/>
    <s v="Current Employees"/>
    <x v="1"/>
    <x v="2"/>
    <x v="1320"/>
    <x v="1320"/>
    <x v="1"/>
    <x v="4"/>
    <x v="1"/>
    <s v="Yes"/>
    <s v="Y"/>
    <n v="2"/>
    <n v="-2"/>
    <n v="0"/>
    <x v="8"/>
    <x v="1"/>
    <m/>
    <n v="0"/>
    <n v="1"/>
    <n v="833"/>
    <n v="18"/>
    <x v="3"/>
    <x v="0"/>
    <n v="2"/>
    <n v="60"/>
    <n v="1"/>
    <n v="2"/>
    <x v="0"/>
    <n v="5811"/>
    <n v="24539"/>
    <n v="3"/>
    <n v="16"/>
    <n v="3"/>
    <n v="3"/>
    <n v="80"/>
    <n v="1"/>
    <n v="15"/>
    <n v="3"/>
    <n v="1"/>
    <n v="0"/>
    <n v="1"/>
    <n v="0"/>
  </r>
  <r>
    <s v="No"/>
    <s v="Travel_Rarely"/>
    <x v="2"/>
    <s v="Current Employees"/>
    <x v="1"/>
    <x v="0"/>
    <x v="1321"/>
    <x v="1321"/>
    <x v="1"/>
    <x v="2"/>
    <x v="1"/>
    <s v="Yes"/>
    <s v="Y"/>
    <n v="3"/>
    <n v="-2"/>
    <n v="0"/>
    <x v="3"/>
    <x v="1"/>
    <m/>
    <n v="0"/>
    <n v="1"/>
    <n v="589"/>
    <n v="28"/>
    <x v="2"/>
    <x v="0"/>
    <n v="2"/>
    <n v="79"/>
    <n v="3"/>
    <n v="2"/>
    <x v="2"/>
    <n v="5207"/>
    <n v="22949"/>
    <n v="1"/>
    <n v="12"/>
    <n v="3"/>
    <n v="2"/>
    <n v="80"/>
    <n v="1"/>
    <n v="15"/>
    <n v="3"/>
    <n v="15"/>
    <n v="14"/>
    <n v="5"/>
    <n v="7"/>
  </r>
  <r>
    <s v="No"/>
    <s v="Travel_Rarely"/>
    <x v="2"/>
    <s v="Current Employees"/>
    <x v="1"/>
    <x v="1"/>
    <x v="1322"/>
    <x v="1322"/>
    <x v="1"/>
    <x v="2"/>
    <x v="1"/>
    <s v="Yes"/>
    <s v="Y"/>
    <n v="2"/>
    <n v="-2"/>
    <n v="0"/>
    <x v="11"/>
    <x v="1"/>
    <m/>
    <n v="0"/>
    <n v="1"/>
    <n v="1378"/>
    <n v="13"/>
    <x v="0"/>
    <x v="0"/>
    <n v="4"/>
    <n v="46"/>
    <n v="2"/>
    <n v="2"/>
    <x v="1"/>
    <n v="4025"/>
    <n v="23679"/>
    <n v="4"/>
    <n v="13"/>
    <n v="3"/>
    <n v="1"/>
    <n v="80"/>
    <n v="1"/>
    <n v="10"/>
    <n v="3"/>
    <n v="4"/>
    <n v="3"/>
    <n v="0"/>
    <n v="3"/>
  </r>
  <r>
    <s v="No"/>
    <s v="Travel_Rarely"/>
    <x v="0"/>
    <s v="Current Employees"/>
    <x v="1"/>
    <x v="0"/>
    <x v="1323"/>
    <x v="1323"/>
    <x v="1"/>
    <x v="4"/>
    <x v="1"/>
    <s v="Yes"/>
    <s v="Y"/>
    <n v="1"/>
    <n v="-2"/>
    <n v="0"/>
    <x v="9"/>
    <x v="1"/>
    <m/>
    <n v="0"/>
    <n v="1"/>
    <n v="1383"/>
    <n v="10"/>
    <x v="3"/>
    <x v="0"/>
    <n v="4"/>
    <n v="90"/>
    <n v="3"/>
    <n v="3"/>
    <x v="3"/>
    <n v="8321"/>
    <n v="25949"/>
    <n v="7"/>
    <n v="13"/>
    <n v="3"/>
    <n v="4"/>
    <n v="80"/>
    <n v="1"/>
    <n v="15"/>
    <n v="3"/>
    <n v="12"/>
    <n v="8"/>
    <n v="5"/>
    <n v="7"/>
  </r>
  <r>
    <s v="No"/>
    <s v="Travel_Rarely"/>
    <x v="0"/>
    <s v="Current Employees"/>
    <x v="1"/>
    <x v="2"/>
    <x v="1324"/>
    <x v="1324"/>
    <x v="1"/>
    <x v="2"/>
    <x v="1"/>
    <s v="Yes"/>
    <s v="Y"/>
    <n v="3"/>
    <n v="-2"/>
    <n v="0"/>
    <x v="10"/>
    <x v="1"/>
    <m/>
    <n v="0"/>
    <n v="1"/>
    <n v="1490"/>
    <n v="11"/>
    <x v="2"/>
    <x v="0"/>
    <n v="4"/>
    <n v="43"/>
    <n v="3"/>
    <n v="1"/>
    <x v="2"/>
    <n v="2660"/>
    <n v="20232"/>
    <n v="7"/>
    <n v="11"/>
    <n v="3"/>
    <n v="3"/>
    <n v="80"/>
    <n v="1"/>
    <n v="5"/>
    <n v="3"/>
    <n v="2"/>
    <n v="2"/>
    <n v="2"/>
    <n v="2"/>
  </r>
  <r>
    <s v="No"/>
    <s v="Travel_Rarely"/>
    <x v="1"/>
    <s v="Current Employees"/>
    <x v="1"/>
    <x v="4"/>
    <x v="1325"/>
    <x v="1325"/>
    <x v="1"/>
    <x v="3"/>
    <x v="1"/>
    <s v="Yes"/>
    <s v="Y"/>
    <n v="4"/>
    <n v="-2"/>
    <n v="0"/>
    <x v="28"/>
    <x v="1"/>
    <m/>
    <n v="0"/>
    <n v="1"/>
    <n v="1448"/>
    <n v="29"/>
    <x v="3"/>
    <x v="0"/>
    <n v="4"/>
    <n v="55"/>
    <n v="3"/>
    <n v="3"/>
    <x v="0"/>
    <n v="9380"/>
    <n v="14720"/>
    <n v="4"/>
    <n v="18"/>
    <n v="3"/>
    <n v="4"/>
    <n v="80"/>
    <n v="2"/>
    <n v="10"/>
    <n v="4"/>
    <n v="3"/>
    <n v="1"/>
    <n v="1"/>
    <n v="2"/>
  </r>
  <r>
    <s v="No"/>
    <s v="Travel_Rarely"/>
    <x v="2"/>
    <s v="Current Employees"/>
    <x v="1"/>
    <x v="2"/>
    <x v="1326"/>
    <x v="1326"/>
    <x v="1"/>
    <x v="1"/>
    <x v="1"/>
    <s v="Yes"/>
    <s v="Y"/>
    <n v="3"/>
    <n v="-2"/>
    <n v="0"/>
    <x v="13"/>
    <x v="1"/>
    <m/>
    <n v="0"/>
    <n v="1"/>
    <n v="181"/>
    <n v="2"/>
    <x v="2"/>
    <x v="0"/>
    <n v="4"/>
    <n v="97"/>
    <n v="4"/>
    <n v="1"/>
    <x v="0"/>
    <n v="2932"/>
    <n v="5586"/>
    <n v="0"/>
    <n v="14"/>
    <n v="3"/>
    <n v="1"/>
    <n v="80"/>
    <n v="3"/>
    <n v="6"/>
    <n v="3"/>
    <n v="5"/>
    <n v="0"/>
    <n v="1"/>
    <n v="2"/>
  </r>
  <r>
    <s v="No"/>
    <s v="Travel_Rarely"/>
    <x v="2"/>
    <s v="Current Employees"/>
    <x v="1"/>
    <x v="2"/>
    <x v="1327"/>
    <x v="1327"/>
    <x v="1"/>
    <x v="2"/>
    <x v="0"/>
    <s v="Yes"/>
    <s v="Y"/>
    <n v="3"/>
    <n v="-2"/>
    <n v="0"/>
    <x v="11"/>
    <x v="1"/>
    <m/>
    <n v="0"/>
    <n v="1"/>
    <n v="1370"/>
    <n v="3"/>
    <x v="1"/>
    <x v="0"/>
    <n v="2"/>
    <n v="87"/>
    <n v="3"/>
    <n v="1"/>
    <x v="3"/>
    <n v="4723"/>
    <n v="16213"/>
    <n v="1"/>
    <n v="18"/>
    <n v="3"/>
    <n v="4"/>
    <n v="80"/>
    <n v="0"/>
    <n v="10"/>
    <n v="3"/>
    <n v="10"/>
    <n v="9"/>
    <n v="1"/>
    <n v="5"/>
  </r>
  <r>
    <s v="No"/>
    <s v="Travel_Rarely"/>
    <x v="0"/>
    <s v="Current Employees"/>
    <x v="1"/>
    <x v="2"/>
    <x v="1328"/>
    <x v="1328"/>
    <x v="1"/>
    <x v="1"/>
    <x v="0"/>
    <s v="Yes"/>
    <s v="Y"/>
    <n v="2"/>
    <n v="-2"/>
    <n v="0"/>
    <x v="20"/>
    <x v="1"/>
    <m/>
    <n v="0"/>
    <n v="1"/>
    <n v="1037"/>
    <n v="1"/>
    <x v="3"/>
    <x v="0"/>
    <n v="2"/>
    <n v="42"/>
    <n v="3"/>
    <n v="1"/>
    <x v="0"/>
    <n v="2436"/>
    <n v="13422"/>
    <n v="6"/>
    <n v="12"/>
    <n v="3"/>
    <n v="3"/>
    <n v="80"/>
    <n v="0"/>
    <n v="6"/>
    <n v="3"/>
    <n v="4"/>
    <n v="3"/>
    <n v="1"/>
    <n v="2"/>
  </r>
  <r>
    <s v="No"/>
    <s v="Travel_Rarely"/>
    <x v="2"/>
    <s v="Current Employees"/>
    <x v="1"/>
    <x v="0"/>
    <x v="1329"/>
    <x v="1329"/>
    <x v="1"/>
    <x v="4"/>
    <x v="0"/>
    <s v="Yes"/>
    <s v="Y"/>
    <n v="6"/>
    <n v="-2"/>
    <n v="0"/>
    <x v="3"/>
    <x v="1"/>
    <m/>
    <n v="0"/>
    <n v="1"/>
    <n v="516"/>
    <n v="8"/>
    <x v="4"/>
    <x v="0"/>
    <n v="4"/>
    <n v="69"/>
    <n v="3"/>
    <n v="2"/>
    <x v="2"/>
    <n v="6388"/>
    <n v="22049"/>
    <n v="2"/>
    <n v="17"/>
    <n v="3"/>
    <n v="1"/>
    <n v="80"/>
    <n v="0"/>
    <n v="14"/>
    <n v="3"/>
    <n v="0"/>
    <n v="0"/>
    <n v="0"/>
    <n v="0"/>
  </r>
  <r>
    <s v="No"/>
    <s v="Travel_Rarely"/>
    <x v="2"/>
    <s v="Current Employees"/>
    <x v="0"/>
    <x v="2"/>
    <x v="1330"/>
    <x v="1330"/>
    <x v="1"/>
    <x v="0"/>
    <x v="2"/>
    <s v="Yes"/>
    <s v="Y"/>
    <n v="3"/>
    <n v="-2"/>
    <n v="0"/>
    <x v="11"/>
    <x v="1"/>
    <m/>
    <n v="0"/>
    <n v="1"/>
    <n v="991"/>
    <n v="5"/>
    <x v="3"/>
    <x v="0"/>
    <n v="1"/>
    <n v="43"/>
    <n v="2"/>
    <n v="2"/>
    <x v="1"/>
    <n v="4187"/>
    <n v="3356"/>
    <n v="1"/>
    <n v="13"/>
    <n v="3"/>
    <n v="2"/>
    <n v="80"/>
    <n v="1"/>
    <n v="10"/>
    <n v="2"/>
    <n v="10"/>
    <n v="0"/>
    <n v="0"/>
    <n v="9"/>
  </r>
  <r>
    <s v="No"/>
    <s v="Travel_Rarely"/>
    <x v="1"/>
    <s v="Current Employees"/>
    <x v="0"/>
    <x v="0"/>
    <x v="1331"/>
    <x v="1331"/>
    <x v="1"/>
    <x v="0"/>
    <x v="2"/>
    <s v="Yes"/>
    <s v="Y"/>
    <n v="5"/>
    <n v="-2"/>
    <n v="0"/>
    <x v="21"/>
    <x v="1"/>
    <m/>
    <n v="0"/>
    <n v="1"/>
    <n v="1277"/>
    <n v="2"/>
    <x v="3"/>
    <x v="0"/>
    <n v="3"/>
    <n v="74"/>
    <n v="3"/>
    <n v="3"/>
    <x v="0"/>
    <n v="10368"/>
    <n v="5596"/>
    <n v="4"/>
    <n v="12"/>
    <n v="3"/>
    <n v="2"/>
    <n v="80"/>
    <n v="1"/>
    <n v="13"/>
    <n v="2"/>
    <n v="10"/>
    <n v="6"/>
    <n v="0"/>
    <n v="3"/>
  </r>
  <r>
    <s v="No"/>
    <s v="Travel_Rarely"/>
    <x v="0"/>
    <s v="Current Employees"/>
    <x v="0"/>
    <x v="3"/>
    <x v="1332"/>
    <x v="1332"/>
    <x v="1"/>
    <x v="0"/>
    <x v="2"/>
    <s v="Yes"/>
    <s v="Y"/>
    <n v="4"/>
    <n v="-2"/>
    <n v="0"/>
    <x v="19"/>
    <x v="1"/>
    <m/>
    <n v="0"/>
    <n v="1"/>
    <n v="419"/>
    <n v="12"/>
    <x v="2"/>
    <x v="0"/>
    <n v="2"/>
    <n v="77"/>
    <n v="3"/>
    <n v="2"/>
    <x v="3"/>
    <n v="5087"/>
    <n v="2900"/>
    <n v="3"/>
    <n v="12"/>
    <n v="3"/>
    <n v="3"/>
    <n v="80"/>
    <n v="2"/>
    <n v="14"/>
    <n v="3"/>
    <n v="0"/>
    <n v="0"/>
    <n v="0"/>
    <n v="0"/>
  </r>
  <r>
    <s v="No"/>
    <s v="Travel_Rarely"/>
    <x v="2"/>
    <s v="Current Employees"/>
    <x v="0"/>
    <x v="4"/>
    <x v="1333"/>
    <x v="1333"/>
    <x v="1"/>
    <x v="0"/>
    <x v="1"/>
    <s v="Yes"/>
    <s v="Y"/>
    <n v="3"/>
    <n v="-2"/>
    <n v="0"/>
    <x v="13"/>
    <x v="1"/>
    <m/>
    <n v="0"/>
    <n v="1"/>
    <n v="971"/>
    <n v="1"/>
    <x v="3"/>
    <x v="0"/>
    <n v="4"/>
    <n v="64"/>
    <n v="2"/>
    <n v="3"/>
    <x v="0"/>
    <n v="7083"/>
    <n v="12288"/>
    <n v="1"/>
    <n v="14"/>
    <n v="3"/>
    <n v="4"/>
    <n v="80"/>
    <n v="0"/>
    <n v="10"/>
    <n v="3"/>
    <n v="10"/>
    <n v="9"/>
    <n v="8"/>
    <n v="6"/>
  </r>
  <r>
    <s v="No"/>
    <s v="Travel_Rarely"/>
    <x v="1"/>
    <s v="Current Employees"/>
    <x v="0"/>
    <x v="3"/>
    <x v="1334"/>
    <x v="1334"/>
    <x v="1"/>
    <x v="5"/>
    <x v="1"/>
    <s v="Yes"/>
    <s v="Y"/>
    <n v="2"/>
    <n v="-2"/>
    <n v="0"/>
    <x v="24"/>
    <x v="1"/>
    <m/>
    <n v="0"/>
    <n v="1"/>
    <n v="264"/>
    <n v="9"/>
    <x v="3"/>
    <x v="0"/>
    <n v="3"/>
    <n v="59"/>
    <n v="3"/>
    <n v="5"/>
    <x v="3"/>
    <n v="19331"/>
    <n v="19519"/>
    <n v="4"/>
    <n v="16"/>
    <n v="3"/>
    <n v="3"/>
    <n v="80"/>
    <n v="1"/>
    <n v="27"/>
    <n v="3"/>
    <n v="1"/>
    <n v="0"/>
    <n v="0"/>
    <n v="0"/>
  </r>
  <r>
    <s v="No"/>
    <s v="Travel_Rarely"/>
    <x v="0"/>
    <s v="Current Employees"/>
    <x v="0"/>
    <x v="2"/>
    <x v="1335"/>
    <x v="1335"/>
    <x v="1"/>
    <x v="0"/>
    <x v="1"/>
    <s v="Yes"/>
    <s v="Y"/>
    <n v="3"/>
    <n v="-2"/>
    <n v="0"/>
    <x v="23"/>
    <x v="1"/>
    <m/>
    <n v="0"/>
    <n v="1"/>
    <n v="1179"/>
    <n v="2"/>
    <x v="3"/>
    <x v="0"/>
    <n v="4"/>
    <n v="73"/>
    <n v="3"/>
    <n v="2"/>
    <x v="0"/>
    <n v="7847"/>
    <n v="6069"/>
    <n v="1"/>
    <n v="17"/>
    <n v="3"/>
    <n v="1"/>
    <n v="80"/>
    <n v="1"/>
    <n v="10"/>
    <n v="3"/>
    <n v="10"/>
    <n v="9"/>
    <n v="8"/>
    <n v="8"/>
  </r>
  <r>
    <s v="No"/>
    <s v="Travel_Rarely"/>
    <x v="2"/>
    <s v="Current Employees"/>
    <x v="0"/>
    <x v="0"/>
    <x v="1336"/>
    <x v="1336"/>
    <x v="1"/>
    <x v="0"/>
    <x v="1"/>
    <s v="Yes"/>
    <s v="Y"/>
    <n v="3"/>
    <n v="-2"/>
    <n v="0"/>
    <x v="13"/>
    <x v="1"/>
    <m/>
    <n v="0"/>
    <n v="1"/>
    <n v="1480"/>
    <n v="4"/>
    <x v="3"/>
    <x v="0"/>
    <n v="3"/>
    <n v="64"/>
    <n v="3"/>
    <n v="3"/>
    <x v="0"/>
    <n v="9713"/>
    <n v="24444"/>
    <n v="2"/>
    <n v="13"/>
    <n v="3"/>
    <n v="4"/>
    <n v="80"/>
    <n v="3"/>
    <n v="9"/>
    <n v="3"/>
    <n v="5"/>
    <n v="3"/>
    <n v="1"/>
    <n v="0"/>
  </r>
  <r>
    <s v="No"/>
    <s v="Travel_Rarely"/>
    <x v="4"/>
    <s v="Current Employees"/>
    <x v="0"/>
    <x v="2"/>
    <x v="1337"/>
    <x v="1337"/>
    <x v="1"/>
    <x v="6"/>
    <x v="0"/>
    <s v="Yes"/>
    <s v="Y"/>
    <n v="6"/>
    <n v="-2"/>
    <n v="0"/>
    <x v="18"/>
    <x v="1"/>
    <m/>
    <n v="0"/>
    <n v="1"/>
    <n v="501"/>
    <n v="5"/>
    <x v="1"/>
    <x v="0"/>
    <n v="3"/>
    <n v="58"/>
    <n v="3"/>
    <n v="1"/>
    <x v="3"/>
    <n v="2380"/>
    <n v="25479"/>
    <n v="1"/>
    <n v="11"/>
    <n v="3"/>
    <n v="4"/>
    <n v="80"/>
    <n v="0"/>
    <n v="2"/>
    <n v="3"/>
    <n v="2"/>
    <n v="2"/>
    <n v="1"/>
    <n v="2"/>
  </r>
  <r>
    <s v="No"/>
    <s v="Travel_Rarely"/>
    <x v="0"/>
    <s v="Current Employees"/>
    <x v="0"/>
    <x v="0"/>
    <x v="1338"/>
    <x v="1338"/>
    <x v="1"/>
    <x v="0"/>
    <x v="0"/>
    <s v="Yes"/>
    <s v="Y"/>
    <n v="2"/>
    <n v="-2"/>
    <n v="0"/>
    <x v="0"/>
    <x v="1"/>
    <m/>
    <n v="0"/>
    <n v="1"/>
    <n v="1206"/>
    <n v="23"/>
    <x v="0"/>
    <x v="0"/>
    <n v="4"/>
    <n v="80"/>
    <n v="3"/>
    <n v="3"/>
    <x v="2"/>
    <n v="7082"/>
    <n v="11591"/>
    <n v="3"/>
    <n v="16"/>
    <n v="3"/>
    <n v="4"/>
    <n v="80"/>
    <n v="0"/>
    <n v="21"/>
    <n v="3"/>
    <n v="2"/>
    <n v="0"/>
    <n v="0"/>
    <n v="2"/>
  </r>
  <r>
    <s v="No"/>
    <s v="Non-Travel"/>
    <x v="2"/>
    <s v="Current Employees"/>
    <x v="1"/>
    <x v="2"/>
    <x v="1339"/>
    <x v="1339"/>
    <x v="0"/>
    <x v="7"/>
    <x v="1"/>
    <s v="No"/>
    <s v="Y"/>
    <n v="2"/>
    <n v="-2"/>
    <n v="0"/>
    <x v="12"/>
    <x v="1"/>
    <m/>
    <n v="0"/>
    <n v="1"/>
    <n v="697"/>
    <n v="10"/>
    <x v="3"/>
    <x v="0"/>
    <n v="3"/>
    <n v="40"/>
    <n v="3"/>
    <n v="3"/>
    <x v="2"/>
    <n v="11031"/>
    <n v="26862"/>
    <n v="4"/>
    <n v="20"/>
    <n v="4"/>
    <n v="3"/>
    <n v="80"/>
    <n v="1"/>
    <n v="13"/>
    <n v="4"/>
    <n v="11"/>
    <n v="7"/>
    <n v="4"/>
    <n v="8"/>
  </r>
  <r>
    <s v="No"/>
    <s v="Non-Travel"/>
    <x v="1"/>
    <s v="Current Employees"/>
    <x v="0"/>
    <x v="0"/>
    <x v="1340"/>
    <x v="1340"/>
    <x v="0"/>
    <x v="0"/>
    <x v="1"/>
    <s v="No"/>
    <s v="Y"/>
    <n v="3"/>
    <n v="-2"/>
    <n v="0"/>
    <x v="28"/>
    <x v="1"/>
    <m/>
    <n v="0"/>
    <n v="1"/>
    <n v="589"/>
    <n v="2"/>
    <x v="2"/>
    <x v="0"/>
    <n v="3"/>
    <n v="67"/>
    <n v="3"/>
    <n v="2"/>
    <x v="2"/>
    <n v="5154"/>
    <n v="19665"/>
    <n v="4"/>
    <n v="22"/>
    <n v="4"/>
    <n v="2"/>
    <n v="80"/>
    <n v="2"/>
    <n v="10"/>
    <n v="4"/>
    <n v="8"/>
    <n v="7"/>
    <n v="5"/>
    <n v="7"/>
  </r>
  <r>
    <s v="No"/>
    <s v="Travel_Frequently"/>
    <x v="1"/>
    <s v="Current Employees"/>
    <x v="1"/>
    <x v="2"/>
    <x v="1341"/>
    <x v="1341"/>
    <x v="0"/>
    <x v="5"/>
    <x v="2"/>
    <s v="No"/>
    <s v="Y"/>
    <n v="2"/>
    <n v="-2"/>
    <n v="0"/>
    <x v="33"/>
    <x v="1"/>
    <m/>
    <n v="0"/>
    <n v="1"/>
    <n v="1050"/>
    <n v="11"/>
    <x v="2"/>
    <x v="0"/>
    <n v="2"/>
    <n v="87"/>
    <n v="3"/>
    <n v="4"/>
    <x v="0"/>
    <n v="16032"/>
    <n v="24456"/>
    <n v="3"/>
    <n v="20"/>
    <n v="4"/>
    <n v="1"/>
    <n v="80"/>
    <n v="1"/>
    <n v="26"/>
    <n v="3"/>
    <n v="14"/>
    <n v="9"/>
    <n v="1"/>
    <n v="12"/>
  </r>
  <r>
    <s v="No"/>
    <s v="Travel_Frequently"/>
    <x v="0"/>
    <s v="Current Employees"/>
    <x v="1"/>
    <x v="2"/>
    <x v="1342"/>
    <x v="1342"/>
    <x v="0"/>
    <x v="2"/>
    <x v="0"/>
    <s v="No"/>
    <s v="Y"/>
    <n v="3"/>
    <n v="-2"/>
    <n v="0"/>
    <x v="8"/>
    <x v="1"/>
    <m/>
    <n v="0"/>
    <n v="1"/>
    <n v="148"/>
    <n v="2"/>
    <x v="3"/>
    <x v="0"/>
    <n v="4"/>
    <n v="42"/>
    <n v="2"/>
    <n v="1"/>
    <x v="1"/>
    <n v="2440"/>
    <n v="23826"/>
    <n v="1"/>
    <n v="22"/>
    <n v="4"/>
    <n v="2"/>
    <n v="80"/>
    <n v="0"/>
    <n v="4"/>
    <n v="3"/>
    <n v="4"/>
    <n v="3"/>
    <n v="3"/>
    <n v="3"/>
  </r>
  <r>
    <s v="No"/>
    <s v="Travel_Frequently"/>
    <x v="2"/>
    <s v="Current Employees"/>
    <x v="1"/>
    <x v="4"/>
    <x v="1343"/>
    <x v="1343"/>
    <x v="0"/>
    <x v="3"/>
    <x v="0"/>
    <s v="No"/>
    <s v="Y"/>
    <n v="3"/>
    <n v="-2"/>
    <n v="0"/>
    <x v="12"/>
    <x v="1"/>
    <m/>
    <n v="0"/>
    <n v="1"/>
    <n v="163"/>
    <n v="24"/>
    <x v="1"/>
    <x v="0"/>
    <n v="4"/>
    <n v="30"/>
    <n v="3"/>
    <n v="2"/>
    <x v="0"/>
    <n v="5238"/>
    <n v="6670"/>
    <n v="2"/>
    <n v="20"/>
    <n v="4"/>
    <n v="4"/>
    <n v="80"/>
    <n v="0"/>
    <n v="9"/>
    <n v="2"/>
    <n v="5"/>
    <n v="4"/>
    <n v="1"/>
    <n v="4"/>
  </r>
  <r>
    <s v="No"/>
    <s v="Travel_Rarely"/>
    <x v="1"/>
    <s v="Current Employees"/>
    <x v="2"/>
    <x v="0"/>
    <x v="1344"/>
    <x v="1344"/>
    <x v="0"/>
    <x v="8"/>
    <x v="1"/>
    <s v="No"/>
    <s v="Y"/>
    <n v="2"/>
    <n v="-2"/>
    <n v="0"/>
    <x v="28"/>
    <x v="1"/>
    <m/>
    <n v="0"/>
    <n v="1"/>
    <n v="176"/>
    <n v="4"/>
    <x v="3"/>
    <x v="0"/>
    <n v="3"/>
    <n v="56"/>
    <n v="1"/>
    <n v="3"/>
    <x v="2"/>
    <n v="9756"/>
    <n v="6595"/>
    <n v="4"/>
    <n v="21"/>
    <n v="4"/>
    <n v="3"/>
    <n v="80"/>
    <n v="2"/>
    <n v="9"/>
    <n v="4"/>
    <n v="5"/>
    <n v="0"/>
    <n v="0"/>
    <n v="3"/>
  </r>
  <r>
    <s v="No"/>
    <s v="Travel_Rarely"/>
    <x v="2"/>
    <s v="Current Employees"/>
    <x v="1"/>
    <x v="2"/>
    <x v="1345"/>
    <x v="1345"/>
    <x v="0"/>
    <x v="3"/>
    <x v="2"/>
    <s v="No"/>
    <s v="Y"/>
    <n v="5"/>
    <n v="-2"/>
    <n v="0"/>
    <x v="14"/>
    <x v="1"/>
    <m/>
    <n v="0"/>
    <n v="1"/>
    <n v="580"/>
    <n v="27"/>
    <x v="3"/>
    <x v="0"/>
    <n v="2"/>
    <n v="39"/>
    <n v="1"/>
    <n v="2"/>
    <x v="3"/>
    <n v="4877"/>
    <n v="20460"/>
    <n v="0"/>
    <n v="21"/>
    <n v="4"/>
    <n v="2"/>
    <n v="80"/>
    <n v="1"/>
    <n v="6"/>
    <n v="2"/>
    <n v="5"/>
    <n v="3"/>
    <n v="0"/>
    <n v="0"/>
  </r>
  <r>
    <s v="No"/>
    <s v="Travel_Rarely"/>
    <x v="2"/>
    <s v="Current Employees"/>
    <x v="1"/>
    <x v="0"/>
    <x v="1346"/>
    <x v="1346"/>
    <x v="0"/>
    <x v="1"/>
    <x v="1"/>
    <s v="No"/>
    <s v="Y"/>
    <n v="5"/>
    <n v="-2"/>
    <n v="0"/>
    <x v="25"/>
    <x v="1"/>
    <m/>
    <n v="0"/>
    <n v="1"/>
    <n v="474"/>
    <n v="3"/>
    <x v="3"/>
    <x v="0"/>
    <n v="1"/>
    <n v="89"/>
    <n v="3"/>
    <n v="1"/>
    <x v="0"/>
    <n v="2061"/>
    <n v="11133"/>
    <n v="1"/>
    <n v="21"/>
    <n v="4"/>
    <n v="1"/>
    <n v="80"/>
    <n v="0"/>
    <n v="1"/>
    <n v="3"/>
    <n v="1"/>
    <n v="0"/>
    <n v="0"/>
    <n v="0"/>
  </r>
  <r>
    <s v="No"/>
    <s v="Travel_Rarely"/>
    <x v="0"/>
    <s v="Current Employees"/>
    <x v="1"/>
    <x v="0"/>
    <x v="1347"/>
    <x v="1347"/>
    <x v="0"/>
    <x v="3"/>
    <x v="1"/>
    <s v="No"/>
    <s v="Y"/>
    <n v="3"/>
    <n v="-2"/>
    <n v="0"/>
    <x v="0"/>
    <x v="1"/>
    <m/>
    <n v="0"/>
    <n v="1"/>
    <n v="582"/>
    <n v="28"/>
    <x v="2"/>
    <x v="0"/>
    <n v="1"/>
    <n v="60"/>
    <n v="2"/>
    <n v="4"/>
    <x v="1"/>
    <n v="13570"/>
    <n v="5640"/>
    <n v="0"/>
    <n v="23"/>
    <n v="4"/>
    <n v="3"/>
    <n v="80"/>
    <n v="1"/>
    <n v="21"/>
    <n v="3"/>
    <n v="20"/>
    <n v="7"/>
    <n v="0"/>
    <n v="10"/>
  </r>
  <r>
    <s v="No"/>
    <s v="Travel_Rarely"/>
    <x v="3"/>
    <s v="Current Employees"/>
    <x v="1"/>
    <x v="0"/>
    <x v="1348"/>
    <x v="1348"/>
    <x v="0"/>
    <x v="1"/>
    <x v="1"/>
    <s v="No"/>
    <s v="Y"/>
    <n v="3"/>
    <n v="-2"/>
    <n v="0"/>
    <x v="29"/>
    <x v="1"/>
    <m/>
    <n v="0"/>
    <n v="1"/>
    <n v="1255"/>
    <n v="1"/>
    <x v="0"/>
    <x v="0"/>
    <n v="1"/>
    <n v="90"/>
    <n v="3"/>
    <n v="1"/>
    <x v="3"/>
    <n v="2066"/>
    <n v="10494"/>
    <n v="2"/>
    <n v="22"/>
    <n v="4"/>
    <n v="4"/>
    <n v="80"/>
    <n v="1"/>
    <n v="5"/>
    <n v="4"/>
    <n v="3"/>
    <n v="2"/>
    <n v="1"/>
    <n v="0"/>
  </r>
  <r>
    <s v="No"/>
    <s v="Travel_Rarely"/>
    <x v="1"/>
    <s v="Current Employees"/>
    <x v="1"/>
    <x v="2"/>
    <x v="1349"/>
    <x v="1349"/>
    <x v="0"/>
    <x v="5"/>
    <x v="1"/>
    <s v="No"/>
    <s v="Y"/>
    <n v="6"/>
    <n v="-2"/>
    <n v="0"/>
    <x v="33"/>
    <x v="1"/>
    <m/>
    <n v="0"/>
    <n v="1"/>
    <n v="584"/>
    <n v="22"/>
    <x v="4"/>
    <x v="0"/>
    <n v="2"/>
    <n v="91"/>
    <n v="3"/>
    <n v="4"/>
    <x v="2"/>
    <n v="17426"/>
    <n v="18685"/>
    <n v="3"/>
    <n v="25"/>
    <n v="4"/>
    <n v="3"/>
    <n v="80"/>
    <n v="1"/>
    <n v="36"/>
    <n v="3"/>
    <n v="10"/>
    <n v="8"/>
    <n v="4"/>
    <n v="7"/>
  </r>
  <r>
    <s v="No"/>
    <s v="Travel_Rarely"/>
    <x v="1"/>
    <s v="Current Employees"/>
    <x v="1"/>
    <x v="2"/>
    <x v="1350"/>
    <x v="1350"/>
    <x v="0"/>
    <x v="2"/>
    <x v="1"/>
    <s v="No"/>
    <s v="Y"/>
    <n v="3"/>
    <n v="-2"/>
    <n v="0"/>
    <x v="1"/>
    <x v="1"/>
    <m/>
    <n v="0"/>
    <n v="1"/>
    <n v="271"/>
    <n v="3"/>
    <x v="0"/>
    <x v="0"/>
    <n v="3"/>
    <n v="43"/>
    <n v="2"/>
    <n v="2"/>
    <x v="3"/>
    <n v="4789"/>
    <n v="23070"/>
    <n v="4"/>
    <n v="25"/>
    <n v="4"/>
    <n v="1"/>
    <n v="80"/>
    <n v="1"/>
    <n v="10"/>
    <n v="3"/>
    <n v="3"/>
    <n v="2"/>
    <n v="1"/>
    <n v="2"/>
  </r>
  <r>
    <s v="No"/>
    <s v="Travel_Rarely"/>
    <x v="2"/>
    <s v="Current Employees"/>
    <x v="1"/>
    <x v="2"/>
    <x v="1351"/>
    <x v="1351"/>
    <x v="0"/>
    <x v="1"/>
    <x v="1"/>
    <s v="No"/>
    <s v="Y"/>
    <n v="3"/>
    <n v="-2"/>
    <n v="0"/>
    <x v="14"/>
    <x v="1"/>
    <m/>
    <n v="0"/>
    <n v="1"/>
    <n v="1217"/>
    <n v="1"/>
    <x v="3"/>
    <x v="0"/>
    <n v="3"/>
    <n v="67"/>
    <n v="3"/>
    <n v="1"/>
    <x v="3"/>
    <n v="3591"/>
    <n v="12719"/>
    <n v="1"/>
    <n v="25"/>
    <n v="4"/>
    <n v="3"/>
    <n v="80"/>
    <n v="1"/>
    <n v="3"/>
    <n v="3"/>
    <n v="3"/>
    <n v="2"/>
    <n v="1"/>
    <n v="2"/>
  </r>
  <r>
    <s v="No"/>
    <s v="Travel_Rarely"/>
    <x v="2"/>
    <s v="Current Employees"/>
    <x v="0"/>
    <x v="2"/>
    <x v="1352"/>
    <x v="1352"/>
    <x v="0"/>
    <x v="6"/>
    <x v="1"/>
    <s v="No"/>
    <s v="Y"/>
    <n v="5"/>
    <n v="-2"/>
    <n v="0"/>
    <x v="4"/>
    <x v="1"/>
    <m/>
    <n v="0"/>
    <n v="1"/>
    <n v="728"/>
    <n v="23"/>
    <x v="1"/>
    <x v="0"/>
    <n v="2"/>
    <n v="36"/>
    <n v="2"/>
    <n v="2"/>
    <x v="2"/>
    <n v="3540"/>
    <n v="7018"/>
    <n v="1"/>
    <n v="21"/>
    <n v="4"/>
    <n v="4"/>
    <n v="80"/>
    <n v="1"/>
    <n v="9"/>
    <n v="3"/>
    <n v="9"/>
    <n v="8"/>
    <n v="5"/>
    <n v="8"/>
  </r>
  <r>
    <s v="No"/>
    <s v="Travel_Rarely"/>
    <x v="0"/>
    <s v="Current Employees"/>
    <x v="0"/>
    <x v="3"/>
    <x v="1353"/>
    <x v="1353"/>
    <x v="0"/>
    <x v="0"/>
    <x v="1"/>
    <s v="No"/>
    <s v="Y"/>
    <n v="3"/>
    <n v="-2"/>
    <n v="0"/>
    <x v="0"/>
    <x v="1"/>
    <m/>
    <n v="0"/>
    <n v="1"/>
    <n v="337"/>
    <n v="8"/>
    <x v="3"/>
    <x v="0"/>
    <n v="3"/>
    <n v="54"/>
    <n v="3"/>
    <n v="2"/>
    <x v="3"/>
    <n v="4393"/>
    <n v="26841"/>
    <n v="5"/>
    <n v="21"/>
    <n v="4"/>
    <n v="3"/>
    <n v="80"/>
    <n v="1"/>
    <n v="14"/>
    <n v="3"/>
    <n v="5"/>
    <n v="4"/>
    <n v="1"/>
    <n v="4"/>
  </r>
  <r>
    <s v="No"/>
    <s v="Travel_Rarely"/>
    <x v="0"/>
    <s v="Current Employees"/>
    <x v="0"/>
    <x v="0"/>
    <x v="1354"/>
    <x v="1354"/>
    <x v="0"/>
    <x v="6"/>
    <x v="1"/>
    <s v="No"/>
    <s v="Y"/>
    <n v="5"/>
    <n v="-2"/>
    <n v="0"/>
    <x v="10"/>
    <x v="1"/>
    <m/>
    <n v="0"/>
    <n v="1"/>
    <n v="1402"/>
    <n v="28"/>
    <x v="2"/>
    <x v="0"/>
    <n v="2"/>
    <n v="98"/>
    <n v="2"/>
    <n v="1"/>
    <x v="2"/>
    <n v="2430"/>
    <n v="26204"/>
    <n v="0"/>
    <n v="23"/>
    <n v="4"/>
    <n v="1"/>
    <n v="80"/>
    <n v="2"/>
    <n v="6"/>
    <n v="3"/>
    <n v="5"/>
    <n v="3"/>
    <n v="4"/>
    <n v="2"/>
  </r>
  <r>
    <s v="No"/>
    <s v="Travel_Rarely"/>
    <x v="2"/>
    <s v="Current Employees"/>
    <x v="0"/>
    <x v="3"/>
    <x v="1355"/>
    <x v="1355"/>
    <x v="0"/>
    <x v="0"/>
    <x v="1"/>
    <s v="No"/>
    <s v="Y"/>
    <n v="2"/>
    <n v="-2"/>
    <n v="0"/>
    <x v="13"/>
    <x v="1"/>
    <m/>
    <n v="0"/>
    <n v="1"/>
    <n v="704"/>
    <n v="28"/>
    <x v="3"/>
    <x v="0"/>
    <n v="4"/>
    <n v="95"/>
    <n v="2"/>
    <n v="2"/>
    <x v="3"/>
    <n v="6712"/>
    <n v="8978"/>
    <n v="1"/>
    <n v="21"/>
    <n v="4"/>
    <n v="4"/>
    <n v="80"/>
    <n v="2"/>
    <n v="8"/>
    <n v="3"/>
    <n v="8"/>
    <n v="7"/>
    <n v="1"/>
    <n v="7"/>
  </r>
  <r>
    <s v="No"/>
    <s v="Non-Travel"/>
    <x v="3"/>
    <s v="Current Employees"/>
    <x v="1"/>
    <x v="0"/>
    <x v="1356"/>
    <x v="1356"/>
    <x v="1"/>
    <x v="4"/>
    <x v="2"/>
    <s v="No"/>
    <s v="Y"/>
    <n v="2"/>
    <n v="-2"/>
    <n v="0"/>
    <x v="29"/>
    <x v="1"/>
    <m/>
    <n v="0"/>
    <n v="1"/>
    <n v="667"/>
    <n v="1"/>
    <x v="2"/>
    <x v="0"/>
    <n v="3"/>
    <n v="57"/>
    <n v="3"/>
    <n v="2"/>
    <x v="2"/>
    <n v="6306"/>
    <n v="26236"/>
    <n v="1"/>
    <n v="21"/>
    <n v="4"/>
    <n v="1"/>
    <n v="80"/>
    <n v="1"/>
    <n v="13"/>
    <n v="2"/>
    <n v="13"/>
    <n v="12"/>
    <n v="1"/>
    <n v="9"/>
  </r>
  <r>
    <s v="No"/>
    <s v="Non-Travel"/>
    <x v="0"/>
    <s v="Current Employees"/>
    <x v="1"/>
    <x v="0"/>
    <x v="1357"/>
    <x v="1357"/>
    <x v="1"/>
    <x v="2"/>
    <x v="1"/>
    <s v="No"/>
    <s v="Y"/>
    <n v="3"/>
    <n v="-2"/>
    <n v="0"/>
    <x v="9"/>
    <x v="1"/>
    <m/>
    <n v="0"/>
    <n v="1"/>
    <n v="1351"/>
    <n v="9"/>
    <x v="2"/>
    <x v="0"/>
    <n v="1"/>
    <n v="66"/>
    <n v="4"/>
    <n v="1"/>
    <x v="1"/>
    <n v="2810"/>
    <n v="9238"/>
    <n v="1"/>
    <n v="22"/>
    <n v="4"/>
    <n v="2"/>
    <n v="80"/>
    <n v="0"/>
    <n v="5"/>
    <n v="3"/>
    <n v="5"/>
    <n v="4"/>
    <n v="0"/>
    <n v="2"/>
  </r>
  <r>
    <s v="No"/>
    <s v="Non-Travel"/>
    <x v="1"/>
    <s v="Current Employees"/>
    <x v="1"/>
    <x v="0"/>
    <x v="1358"/>
    <x v="1358"/>
    <x v="1"/>
    <x v="4"/>
    <x v="1"/>
    <s v="No"/>
    <s v="Y"/>
    <n v="3"/>
    <n v="-2"/>
    <n v="0"/>
    <x v="28"/>
    <x v="1"/>
    <m/>
    <n v="0"/>
    <n v="1"/>
    <n v="1238"/>
    <n v="1"/>
    <x v="1"/>
    <x v="0"/>
    <n v="3"/>
    <n v="74"/>
    <n v="2"/>
    <n v="3"/>
    <x v="2"/>
    <n v="10748"/>
    <n v="3395"/>
    <n v="3"/>
    <n v="23"/>
    <n v="4"/>
    <n v="4"/>
    <n v="80"/>
    <n v="1"/>
    <n v="25"/>
    <n v="2"/>
    <n v="23"/>
    <n v="15"/>
    <n v="14"/>
    <n v="4"/>
  </r>
  <r>
    <s v="No"/>
    <s v="Non-Travel"/>
    <x v="0"/>
    <s v="Current Employees"/>
    <x v="1"/>
    <x v="4"/>
    <x v="1359"/>
    <x v="1359"/>
    <x v="1"/>
    <x v="1"/>
    <x v="1"/>
    <s v="No"/>
    <s v="Y"/>
    <n v="1"/>
    <n v="-2"/>
    <n v="0"/>
    <x v="19"/>
    <x v="1"/>
    <m/>
    <n v="0"/>
    <n v="1"/>
    <n v="355"/>
    <n v="10"/>
    <x v="2"/>
    <x v="0"/>
    <n v="4"/>
    <n v="38"/>
    <n v="3"/>
    <n v="1"/>
    <x v="0"/>
    <n v="2936"/>
    <n v="6161"/>
    <n v="3"/>
    <n v="22"/>
    <n v="4"/>
    <n v="2"/>
    <n v="80"/>
    <n v="2"/>
    <n v="10"/>
    <n v="2"/>
    <n v="6"/>
    <n v="3"/>
    <n v="3"/>
    <n v="3"/>
  </r>
  <r>
    <s v="No"/>
    <s v="Non-Travel"/>
    <x v="2"/>
    <s v="Current Employees"/>
    <x v="1"/>
    <x v="2"/>
    <x v="1360"/>
    <x v="1360"/>
    <x v="1"/>
    <x v="2"/>
    <x v="0"/>
    <s v="No"/>
    <s v="Y"/>
    <n v="5"/>
    <n v="-2"/>
    <n v="0"/>
    <x v="25"/>
    <x v="1"/>
    <m/>
    <n v="0"/>
    <n v="1"/>
    <n v="786"/>
    <n v="7"/>
    <x v="3"/>
    <x v="0"/>
    <n v="4"/>
    <n v="76"/>
    <n v="3"/>
    <n v="1"/>
    <x v="0"/>
    <n v="2570"/>
    <n v="11925"/>
    <n v="1"/>
    <n v="20"/>
    <n v="4"/>
    <n v="3"/>
    <n v="80"/>
    <n v="0"/>
    <n v="7"/>
    <n v="3"/>
    <n v="7"/>
    <n v="7"/>
    <n v="5"/>
    <n v="7"/>
  </r>
  <r>
    <s v="No"/>
    <s v="Non-Travel"/>
    <x v="3"/>
    <s v="Current Employees"/>
    <x v="0"/>
    <x v="2"/>
    <x v="1361"/>
    <x v="1361"/>
    <x v="1"/>
    <x v="5"/>
    <x v="2"/>
    <s v="No"/>
    <s v="Y"/>
    <n v="0"/>
    <n v="-2"/>
    <n v="0"/>
    <x v="34"/>
    <x v="1"/>
    <m/>
    <n v="0"/>
    <n v="1"/>
    <n v="350"/>
    <n v="2"/>
    <x v="3"/>
    <x v="0"/>
    <n v="2"/>
    <n v="52"/>
    <n v="3"/>
    <n v="4"/>
    <x v="1"/>
    <n v="16291"/>
    <n v="22577"/>
    <n v="4"/>
    <n v="22"/>
    <n v="4"/>
    <n v="4"/>
    <n v="80"/>
    <n v="1"/>
    <n v="37"/>
    <n v="2"/>
    <n v="16"/>
    <n v="9"/>
    <n v="14"/>
    <n v="14"/>
  </r>
  <r>
    <s v="No"/>
    <s v="Non-Travel"/>
    <x v="0"/>
    <s v="Current Employees"/>
    <x v="0"/>
    <x v="3"/>
    <x v="1362"/>
    <x v="1362"/>
    <x v="1"/>
    <x v="0"/>
    <x v="2"/>
    <s v="No"/>
    <s v="Y"/>
    <n v="4"/>
    <n v="-2"/>
    <n v="0"/>
    <x v="9"/>
    <x v="1"/>
    <m/>
    <n v="0"/>
    <n v="1"/>
    <n v="301"/>
    <n v="15"/>
    <x v="2"/>
    <x v="0"/>
    <n v="4"/>
    <n v="88"/>
    <n v="1"/>
    <n v="2"/>
    <x v="3"/>
    <n v="5406"/>
    <n v="10436"/>
    <n v="1"/>
    <n v="24"/>
    <n v="4"/>
    <n v="1"/>
    <n v="80"/>
    <n v="1"/>
    <n v="15"/>
    <n v="2"/>
    <n v="15"/>
    <n v="12"/>
    <n v="11"/>
    <n v="11"/>
  </r>
  <r>
    <s v="No"/>
    <s v="Travel_Frequently"/>
    <x v="0"/>
    <s v="Current Employees"/>
    <x v="2"/>
    <x v="5"/>
    <x v="1363"/>
    <x v="1363"/>
    <x v="1"/>
    <x v="8"/>
    <x v="0"/>
    <s v="No"/>
    <s v="Y"/>
    <n v="2"/>
    <n v="-2"/>
    <n v="0"/>
    <x v="9"/>
    <x v="1"/>
    <m/>
    <n v="0"/>
    <n v="1"/>
    <n v="1213"/>
    <n v="2"/>
    <x v="1"/>
    <x v="0"/>
    <n v="2"/>
    <n v="94"/>
    <n v="2"/>
    <n v="2"/>
    <x v="0"/>
    <n v="3886"/>
    <n v="4223"/>
    <n v="1"/>
    <n v="21"/>
    <n v="4"/>
    <n v="4"/>
    <n v="80"/>
    <n v="0"/>
    <n v="10"/>
    <n v="2"/>
    <n v="10"/>
    <n v="1"/>
    <n v="0"/>
    <n v="8"/>
  </r>
  <r>
    <s v="No"/>
    <s v="Travel_Frequently"/>
    <x v="2"/>
    <s v="Current Employees"/>
    <x v="1"/>
    <x v="0"/>
    <x v="1364"/>
    <x v="1364"/>
    <x v="1"/>
    <x v="4"/>
    <x v="2"/>
    <s v="No"/>
    <s v="Y"/>
    <n v="2"/>
    <n v="-2"/>
    <n v="0"/>
    <x v="3"/>
    <x v="1"/>
    <m/>
    <n v="0"/>
    <n v="1"/>
    <n v="1303"/>
    <n v="7"/>
    <x v="0"/>
    <x v="0"/>
    <n v="4"/>
    <n v="36"/>
    <n v="3"/>
    <n v="2"/>
    <x v="2"/>
    <n v="5968"/>
    <n v="18079"/>
    <n v="1"/>
    <n v="20"/>
    <n v="4"/>
    <n v="3"/>
    <n v="80"/>
    <n v="3"/>
    <n v="9"/>
    <n v="3"/>
    <n v="9"/>
    <n v="7"/>
    <n v="2"/>
    <n v="8"/>
  </r>
  <r>
    <s v="No"/>
    <s v="Travel_Frequently"/>
    <x v="2"/>
    <s v="Current Employees"/>
    <x v="1"/>
    <x v="0"/>
    <x v="1365"/>
    <x v="1365"/>
    <x v="1"/>
    <x v="1"/>
    <x v="1"/>
    <s v="No"/>
    <s v="Y"/>
    <n v="6"/>
    <n v="-2"/>
    <n v="0"/>
    <x v="12"/>
    <x v="1"/>
    <m/>
    <n v="0"/>
    <n v="1"/>
    <n v="1125"/>
    <n v="1"/>
    <x v="3"/>
    <x v="0"/>
    <n v="4"/>
    <n v="48"/>
    <n v="1"/>
    <n v="2"/>
    <x v="3"/>
    <n v="5003"/>
    <n v="5771"/>
    <n v="1"/>
    <n v="21"/>
    <n v="4"/>
    <n v="2"/>
    <n v="80"/>
    <n v="0"/>
    <n v="10"/>
    <n v="3"/>
    <n v="10"/>
    <n v="8"/>
    <n v="8"/>
    <n v="7"/>
  </r>
  <r>
    <s v="No"/>
    <s v="Travel_Frequently"/>
    <x v="1"/>
    <s v="Current Employees"/>
    <x v="1"/>
    <x v="2"/>
    <x v="1366"/>
    <x v="1366"/>
    <x v="1"/>
    <x v="5"/>
    <x v="1"/>
    <s v="No"/>
    <s v="Y"/>
    <n v="3"/>
    <n v="-2"/>
    <n v="0"/>
    <x v="26"/>
    <x v="1"/>
    <m/>
    <n v="0"/>
    <n v="1"/>
    <n v="365"/>
    <n v="4"/>
    <x v="4"/>
    <x v="0"/>
    <n v="3"/>
    <n v="89"/>
    <n v="2"/>
    <n v="4"/>
    <x v="0"/>
    <n v="15202"/>
    <n v="5602"/>
    <n v="2"/>
    <n v="25"/>
    <n v="4"/>
    <n v="2"/>
    <n v="80"/>
    <n v="1"/>
    <n v="23"/>
    <n v="3"/>
    <n v="2"/>
    <n v="2"/>
    <n v="2"/>
    <n v="2"/>
  </r>
  <r>
    <s v="No"/>
    <s v="Travel_Frequently"/>
    <x v="0"/>
    <s v="Current Employees"/>
    <x v="0"/>
    <x v="0"/>
    <x v="1367"/>
    <x v="1367"/>
    <x v="1"/>
    <x v="0"/>
    <x v="1"/>
    <s v="No"/>
    <s v="Y"/>
    <n v="5"/>
    <n v="-2"/>
    <n v="0"/>
    <x v="23"/>
    <x v="1"/>
    <m/>
    <n v="0"/>
    <n v="1"/>
    <n v="1422"/>
    <n v="2"/>
    <x v="2"/>
    <x v="0"/>
    <n v="1"/>
    <n v="92"/>
    <n v="3"/>
    <n v="2"/>
    <x v="0"/>
    <n v="5675"/>
    <n v="19246"/>
    <n v="1"/>
    <n v="20"/>
    <n v="4"/>
    <n v="3"/>
    <n v="80"/>
    <n v="1"/>
    <n v="7"/>
    <n v="3"/>
    <n v="7"/>
    <n v="7"/>
    <n v="7"/>
    <n v="7"/>
  </r>
  <r>
    <s v="No"/>
    <s v="Travel_Rarely"/>
    <x v="2"/>
    <s v="Current Employees"/>
    <x v="2"/>
    <x v="0"/>
    <x v="1368"/>
    <x v="1368"/>
    <x v="1"/>
    <x v="8"/>
    <x v="2"/>
    <s v="No"/>
    <s v="Y"/>
    <n v="3"/>
    <n v="-2"/>
    <n v="0"/>
    <x v="7"/>
    <x v="1"/>
    <m/>
    <n v="0"/>
    <n v="1"/>
    <n v="330"/>
    <n v="1"/>
    <x v="3"/>
    <x v="0"/>
    <n v="3"/>
    <n v="46"/>
    <n v="3"/>
    <n v="1"/>
    <x v="2"/>
    <n v="2064"/>
    <n v="15428"/>
    <n v="0"/>
    <n v="21"/>
    <n v="4"/>
    <n v="1"/>
    <n v="80"/>
    <n v="1"/>
    <n v="6"/>
    <n v="4"/>
    <n v="5"/>
    <n v="3"/>
    <n v="1"/>
    <n v="3"/>
  </r>
  <r>
    <s v="No"/>
    <s v="Travel_Rarely"/>
    <x v="3"/>
    <s v="Current Employees"/>
    <x v="1"/>
    <x v="2"/>
    <x v="1369"/>
    <x v="1369"/>
    <x v="1"/>
    <x v="4"/>
    <x v="2"/>
    <s v="No"/>
    <s v="Y"/>
    <n v="2"/>
    <n v="-2"/>
    <n v="0"/>
    <x v="42"/>
    <x v="1"/>
    <m/>
    <n v="0"/>
    <n v="1"/>
    <n v="370"/>
    <n v="1"/>
    <x v="2"/>
    <x v="0"/>
    <n v="3"/>
    <n v="92"/>
    <n v="1"/>
    <n v="3"/>
    <x v="0"/>
    <n v="10883"/>
    <n v="20467"/>
    <n v="3"/>
    <n v="20"/>
    <n v="4"/>
    <n v="3"/>
    <n v="80"/>
    <n v="1"/>
    <n v="19"/>
    <n v="4"/>
    <n v="1"/>
    <n v="0"/>
    <n v="0"/>
    <n v="0"/>
  </r>
  <r>
    <s v="No"/>
    <s v="Travel_Rarely"/>
    <x v="0"/>
    <s v="Current Employees"/>
    <x v="1"/>
    <x v="0"/>
    <x v="1370"/>
    <x v="1370"/>
    <x v="1"/>
    <x v="4"/>
    <x v="2"/>
    <s v="No"/>
    <s v="Y"/>
    <n v="3"/>
    <n v="-2"/>
    <n v="0"/>
    <x v="9"/>
    <x v="1"/>
    <m/>
    <n v="0"/>
    <n v="1"/>
    <n v="1040"/>
    <n v="3"/>
    <x v="0"/>
    <x v="0"/>
    <n v="4"/>
    <n v="79"/>
    <n v="4"/>
    <n v="2"/>
    <x v="3"/>
    <n v="6842"/>
    <n v="26308"/>
    <n v="6"/>
    <n v="20"/>
    <n v="4"/>
    <n v="1"/>
    <n v="80"/>
    <n v="1"/>
    <n v="13"/>
    <n v="3"/>
    <n v="5"/>
    <n v="4"/>
    <n v="0"/>
    <n v="4"/>
  </r>
  <r>
    <s v="No"/>
    <s v="Travel_Rarely"/>
    <x v="0"/>
    <s v="Current Employees"/>
    <x v="1"/>
    <x v="0"/>
    <x v="1371"/>
    <x v="1371"/>
    <x v="1"/>
    <x v="2"/>
    <x v="2"/>
    <s v="No"/>
    <s v="Y"/>
    <n v="2"/>
    <n v="-2"/>
    <n v="0"/>
    <x v="0"/>
    <x v="1"/>
    <m/>
    <n v="0"/>
    <n v="1"/>
    <n v="548"/>
    <n v="9"/>
    <x v="2"/>
    <x v="0"/>
    <n v="3"/>
    <n v="94"/>
    <n v="3"/>
    <n v="1"/>
    <x v="3"/>
    <n v="2289"/>
    <n v="20520"/>
    <n v="1"/>
    <n v="20"/>
    <n v="4"/>
    <n v="2"/>
    <n v="80"/>
    <n v="2"/>
    <n v="5"/>
    <n v="3"/>
    <n v="5"/>
    <n v="3"/>
    <n v="0"/>
    <n v="4"/>
  </r>
  <r>
    <s v="No"/>
    <s v="Travel_Rarely"/>
    <x v="0"/>
    <s v="Current Employees"/>
    <x v="1"/>
    <x v="2"/>
    <x v="1372"/>
    <x v="1372"/>
    <x v="1"/>
    <x v="2"/>
    <x v="2"/>
    <s v="No"/>
    <s v="Y"/>
    <n v="6"/>
    <n v="-2"/>
    <n v="0"/>
    <x v="19"/>
    <x v="1"/>
    <m/>
    <n v="0"/>
    <n v="1"/>
    <n v="855"/>
    <n v="12"/>
    <x v="3"/>
    <x v="0"/>
    <n v="2"/>
    <n v="57"/>
    <n v="3"/>
    <n v="1"/>
    <x v="1"/>
    <n v="2766"/>
    <n v="8952"/>
    <n v="8"/>
    <n v="22"/>
    <n v="4"/>
    <n v="2"/>
    <n v="80"/>
    <n v="3"/>
    <n v="7"/>
    <n v="2"/>
    <n v="5"/>
    <n v="3"/>
    <n v="0"/>
    <n v="4"/>
  </r>
  <r>
    <s v="No"/>
    <s v="Travel_Rarely"/>
    <x v="0"/>
    <s v="Current Employees"/>
    <x v="1"/>
    <x v="2"/>
    <x v="1373"/>
    <x v="1373"/>
    <x v="1"/>
    <x v="3"/>
    <x v="1"/>
    <s v="No"/>
    <s v="Y"/>
    <n v="3"/>
    <n v="-2"/>
    <n v="0"/>
    <x v="22"/>
    <x v="1"/>
    <m/>
    <n v="0"/>
    <n v="1"/>
    <n v="492"/>
    <n v="12"/>
    <x v="3"/>
    <x v="0"/>
    <n v="4"/>
    <n v="66"/>
    <n v="3"/>
    <n v="2"/>
    <x v="1"/>
    <n v="5295"/>
    <n v="7693"/>
    <n v="4"/>
    <n v="21"/>
    <n v="4"/>
    <n v="3"/>
    <n v="80"/>
    <n v="0"/>
    <n v="7"/>
    <n v="3"/>
    <n v="5"/>
    <n v="4"/>
    <n v="1"/>
    <n v="0"/>
  </r>
  <r>
    <s v="No"/>
    <s v="Travel_Rarely"/>
    <x v="0"/>
    <s v="Current Employees"/>
    <x v="1"/>
    <x v="2"/>
    <x v="1374"/>
    <x v="1374"/>
    <x v="1"/>
    <x v="3"/>
    <x v="1"/>
    <s v="No"/>
    <s v="Y"/>
    <n v="3"/>
    <n v="-2"/>
    <n v="0"/>
    <x v="22"/>
    <x v="1"/>
    <m/>
    <n v="0"/>
    <n v="1"/>
    <n v="867"/>
    <n v="9"/>
    <x v="0"/>
    <x v="0"/>
    <n v="1"/>
    <n v="87"/>
    <n v="3"/>
    <n v="2"/>
    <x v="3"/>
    <n v="5151"/>
    <n v="12315"/>
    <n v="1"/>
    <n v="25"/>
    <n v="4"/>
    <n v="4"/>
    <n v="80"/>
    <n v="1"/>
    <n v="10"/>
    <n v="3"/>
    <n v="10"/>
    <n v="0"/>
    <n v="7"/>
    <n v="9"/>
  </r>
  <r>
    <s v="No"/>
    <s v="Travel_Rarely"/>
    <x v="3"/>
    <s v="Current Employees"/>
    <x v="1"/>
    <x v="4"/>
    <x v="1375"/>
    <x v="1375"/>
    <x v="1"/>
    <x v="1"/>
    <x v="1"/>
    <s v="No"/>
    <s v="Y"/>
    <n v="2"/>
    <n v="-2"/>
    <n v="0"/>
    <x v="27"/>
    <x v="1"/>
    <m/>
    <n v="0"/>
    <n v="1"/>
    <n v="836"/>
    <n v="2"/>
    <x v="2"/>
    <x v="0"/>
    <n v="4"/>
    <n v="98"/>
    <n v="2"/>
    <n v="1"/>
    <x v="0"/>
    <n v="2662"/>
    <n v="7975"/>
    <n v="8"/>
    <n v="20"/>
    <n v="4"/>
    <n v="2"/>
    <n v="80"/>
    <n v="1"/>
    <n v="19"/>
    <n v="4"/>
    <n v="5"/>
    <n v="2"/>
    <n v="0"/>
    <n v="4"/>
  </r>
  <r>
    <s v="No"/>
    <s v="Travel_Rarely"/>
    <x v="3"/>
    <s v="Current Employees"/>
    <x v="1"/>
    <x v="0"/>
    <x v="1376"/>
    <x v="1376"/>
    <x v="1"/>
    <x v="1"/>
    <x v="1"/>
    <s v="No"/>
    <s v="Y"/>
    <n v="2"/>
    <n v="-2"/>
    <n v="0"/>
    <x v="38"/>
    <x v="1"/>
    <m/>
    <n v="0"/>
    <n v="1"/>
    <n v="405"/>
    <n v="1"/>
    <x v="0"/>
    <x v="0"/>
    <n v="2"/>
    <n v="93"/>
    <n v="4"/>
    <n v="2"/>
    <x v="2"/>
    <n v="4900"/>
    <n v="2721"/>
    <n v="0"/>
    <n v="24"/>
    <n v="4"/>
    <n v="1"/>
    <n v="80"/>
    <n v="1"/>
    <n v="13"/>
    <n v="2"/>
    <n v="12"/>
    <n v="9"/>
    <n v="2"/>
    <n v="8"/>
  </r>
  <r>
    <s v="No"/>
    <s v="Travel_Rarely"/>
    <x v="0"/>
    <s v="Current Employees"/>
    <x v="1"/>
    <x v="0"/>
    <x v="1377"/>
    <x v="1377"/>
    <x v="1"/>
    <x v="7"/>
    <x v="1"/>
    <s v="No"/>
    <s v="Y"/>
    <n v="3"/>
    <n v="-2"/>
    <n v="0"/>
    <x v="23"/>
    <x v="1"/>
    <m/>
    <n v="0"/>
    <n v="1"/>
    <n v="1291"/>
    <n v="15"/>
    <x v="0"/>
    <x v="0"/>
    <n v="3"/>
    <n v="65"/>
    <n v="2"/>
    <n v="4"/>
    <x v="2"/>
    <n v="17603"/>
    <n v="3525"/>
    <n v="1"/>
    <n v="24"/>
    <n v="4"/>
    <n v="1"/>
    <n v="80"/>
    <n v="1"/>
    <n v="14"/>
    <n v="3"/>
    <n v="14"/>
    <n v="10"/>
    <n v="6"/>
    <n v="11"/>
  </r>
  <r>
    <s v="No"/>
    <s v="Travel_Rarely"/>
    <x v="0"/>
    <s v="Current Employees"/>
    <x v="1"/>
    <x v="0"/>
    <x v="1378"/>
    <x v="1378"/>
    <x v="1"/>
    <x v="1"/>
    <x v="1"/>
    <s v="No"/>
    <s v="Y"/>
    <n v="3"/>
    <n v="-2"/>
    <n v="0"/>
    <x v="0"/>
    <x v="1"/>
    <m/>
    <n v="0"/>
    <n v="1"/>
    <n v="642"/>
    <n v="1"/>
    <x v="3"/>
    <x v="0"/>
    <n v="4"/>
    <n v="76"/>
    <n v="3"/>
    <n v="1"/>
    <x v="0"/>
    <n v="2782"/>
    <n v="21412"/>
    <n v="3"/>
    <n v="22"/>
    <n v="4"/>
    <n v="1"/>
    <n v="80"/>
    <n v="1"/>
    <n v="12"/>
    <n v="3"/>
    <n v="5"/>
    <n v="3"/>
    <n v="1"/>
    <n v="0"/>
  </r>
  <r>
    <s v="No"/>
    <s v="Travel_Rarely"/>
    <x v="1"/>
    <s v="Current Employees"/>
    <x v="1"/>
    <x v="4"/>
    <x v="1379"/>
    <x v="1379"/>
    <x v="1"/>
    <x v="1"/>
    <x v="1"/>
    <s v="No"/>
    <s v="Y"/>
    <n v="3"/>
    <n v="-2"/>
    <n v="0"/>
    <x v="28"/>
    <x v="1"/>
    <m/>
    <n v="0"/>
    <n v="1"/>
    <n v="950"/>
    <n v="28"/>
    <x v="3"/>
    <x v="0"/>
    <n v="4"/>
    <n v="97"/>
    <n v="3"/>
    <n v="1"/>
    <x v="0"/>
    <n v="2132"/>
    <n v="4585"/>
    <n v="4"/>
    <n v="20"/>
    <n v="4"/>
    <n v="4"/>
    <n v="80"/>
    <n v="1"/>
    <n v="8"/>
    <n v="3"/>
    <n v="5"/>
    <n v="4"/>
    <n v="0"/>
    <n v="3"/>
  </r>
  <r>
    <s v="No"/>
    <s v="Travel_Rarely"/>
    <x v="1"/>
    <s v="Current Employees"/>
    <x v="1"/>
    <x v="2"/>
    <x v="1380"/>
    <x v="1380"/>
    <x v="1"/>
    <x v="4"/>
    <x v="0"/>
    <s v="No"/>
    <s v="Y"/>
    <n v="3"/>
    <n v="-2"/>
    <n v="0"/>
    <x v="40"/>
    <x v="1"/>
    <m/>
    <n v="0"/>
    <n v="1"/>
    <n v="1180"/>
    <n v="25"/>
    <x v="3"/>
    <x v="0"/>
    <n v="1"/>
    <n v="84"/>
    <n v="3"/>
    <n v="3"/>
    <x v="2"/>
    <n v="8633"/>
    <n v="13084"/>
    <n v="2"/>
    <n v="23"/>
    <n v="4"/>
    <n v="2"/>
    <n v="80"/>
    <n v="0"/>
    <n v="25"/>
    <n v="3"/>
    <n v="17"/>
    <n v="14"/>
    <n v="12"/>
    <n v="11"/>
  </r>
  <r>
    <s v="No"/>
    <s v="Travel_Rarely"/>
    <x v="0"/>
    <s v="Current Employees"/>
    <x v="1"/>
    <x v="2"/>
    <x v="1381"/>
    <x v="1381"/>
    <x v="1"/>
    <x v="7"/>
    <x v="0"/>
    <s v="No"/>
    <s v="Y"/>
    <n v="3"/>
    <n v="-2"/>
    <n v="0"/>
    <x v="22"/>
    <x v="1"/>
    <m/>
    <n v="0"/>
    <n v="1"/>
    <n v="1253"/>
    <n v="10"/>
    <x v="1"/>
    <x v="0"/>
    <n v="3"/>
    <n v="65"/>
    <n v="3"/>
    <n v="3"/>
    <x v="2"/>
    <n v="13464"/>
    <n v="7914"/>
    <n v="7"/>
    <n v="21"/>
    <n v="4"/>
    <n v="3"/>
    <n v="80"/>
    <n v="0"/>
    <n v="9"/>
    <n v="3"/>
    <n v="4"/>
    <n v="3"/>
    <n v="2"/>
    <n v="2"/>
  </r>
  <r>
    <s v="No"/>
    <s v="Travel_Rarely"/>
    <x v="2"/>
    <s v="Current Employees"/>
    <x v="1"/>
    <x v="2"/>
    <x v="1382"/>
    <x v="1382"/>
    <x v="1"/>
    <x v="5"/>
    <x v="0"/>
    <s v="No"/>
    <s v="Y"/>
    <n v="5"/>
    <n v="-2"/>
    <n v="0"/>
    <x v="5"/>
    <x v="1"/>
    <m/>
    <n v="0"/>
    <n v="1"/>
    <n v="495"/>
    <n v="10"/>
    <x v="3"/>
    <x v="0"/>
    <n v="3"/>
    <n v="64"/>
    <n v="3"/>
    <n v="3"/>
    <x v="0"/>
    <n v="11244"/>
    <n v="21072"/>
    <n v="2"/>
    <n v="25"/>
    <n v="4"/>
    <n v="2"/>
    <n v="80"/>
    <n v="0"/>
    <n v="10"/>
    <n v="4"/>
    <n v="5"/>
    <n v="2"/>
    <n v="0"/>
    <n v="0"/>
  </r>
  <r>
    <s v="No"/>
    <s v="Travel_Rarely"/>
    <x v="2"/>
    <s v="Current Employees"/>
    <x v="1"/>
    <x v="0"/>
    <x v="1383"/>
    <x v="1383"/>
    <x v="1"/>
    <x v="3"/>
    <x v="0"/>
    <s v="No"/>
    <s v="Y"/>
    <n v="1"/>
    <n v="-2"/>
    <n v="0"/>
    <x v="5"/>
    <x v="1"/>
    <m/>
    <n v="0"/>
    <n v="1"/>
    <n v="1373"/>
    <n v="5"/>
    <x v="2"/>
    <x v="0"/>
    <n v="4"/>
    <n v="56"/>
    <n v="2"/>
    <n v="2"/>
    <x v="0"/>
    <n v="9679"/>
    <n v="10138"/>
    <n v="8"/>
    <n v="24"/>
    <n v="4"/>
    <n v="2"/>
    <n v="80"/>
    <n v="0"/>
    <n v="8"/>
    <n v="3"/>
    <n v="1"/>
    <n v="0"/>
    <n v="0"/>
    <n v="0"/>
  </r>
  <r>
    <s v="No"/>
    <s v="Travel_Rarely"/>
    <x v="0"/>
    <s v="Current Employees"/>
    <x v="1"/>
    <x v="1"/>
    <x v="1384"/>
    <x v="1384"/>
    <x v="1"/>
    <x v="5"/>
    <x v="0"/>
    <s v="No"/>
    <s v="Y"/>
    <n v="2"/>
    <n v="-2"/>
    <n v="0"/>
    <x v="19"/>
    <x v="1"/>
    <m/>
    <n v="0"/>
    <n v="1"/>
    <n v="1059"/>
    <n v="9"/>
    <x v="0"/>
    <x v="0"/>
    <n v="4"/>
    <n v="93"/>
    <n v="2"/>
    <n v="5"/>
    <x v="0"/>
    <n v="19613"/>
    <n v="26362"/>
    <n v="8"/>
    <n v="22"/>
    <n v="4"/>
    <n v="4"/>
    <n v="80"/>
    <n v="0"/>
    <n v="24"/>
    <n v="3"/>
    <n v="1"/>
    <n v="0"/>
    <n v="0"/>
    <n v="1"/>
  </r>
  <r>
    <s v="No"/>
    <s v="Travel_Rarely"/>
    <x v="3"/>
    <s v="Current Employees"/>
    <x v="0"/>
    <x v="3"/>
    <x v="1385"/>
    <x v="1385"/>
    <x v="1"/>
    <x v="5"/>
    <x v="1"/>
    <s v="No"/>
    <s v="Y"/>
    <n v="3"/>
    <n v="-2"/>
    <n v="0"/>
    <x v="27"/>
    <x v="1"/>
    <m/>
    <n v="0"/>
    <n v="1"/>
    <n v="685"/>
    <n v="26"/>
    <x v="4"/>
    <x v="0"/>
    <n v="3"/>
    <n v="60"/>
    <n v="2"/>
    <n v="5"/>
    <x v="3"/>
    <n v="19586"/>
    <n v="23037"/>
    <n v="1"/>
    <n v="21"/>
    <n v="4"/>
    <n v="3"/>
    <n v="80"/>
    <n v="1"/>
    <n v="36"/>
    <n v="3"/>
    <n v="36"/>
    <n v="6"/>
    <n v="2"/>
    <n v="13"/>
  </r>
  <r>
    <s v="No"/>
    <s v="Travel_Rarely"/>
    <x v="2"/>
    <s v="Current Employees"/>
    <x v="0"/>
    <x v="4"/>
    <x v="1386"/>
    <x v="1386"/>
    <x v="1"/>
    <x v="0"/>
    <x v="1"/>
    <s v="No"/>
    <s v="Y"/>
    <n v="5"/>
    <n v="-2"/>
    <n v="0"/>
    <x v="13"/>
    <x v="1"/>
    <m/>
    <n v="0"/>
    <n v="1"/>
    <n v="810"/>
    <n v="8"/>
    <x v="0"/>
    <x v="0"/>
    <n v="4"/>
    <n v="92"/>
    <n v="4"/>
    <n v="2"/>
    <x v="0"/>
    <n v="6799"/>
    <n v="22128"/>
    <n v="1"/>
    <n v="21"/>
    <n v="4"/>
    <n v="3"/>
    <n v="80"/>
    <n v="2"/>
    <n v="10"/>
    <n v="3"/>
    <n v="10"/>
    <n v="8"/>
    <n v="4"/>
    <n v="8"/>
  </r>
  <r>
    <s v="No"/>
    <s v="Travel_Rarely"/>
    <x v="2"/>
    <s v="Current Employees"/>
    <x v="0"/>
    <x v="3"/>
    <x v="1387"/>
    <x v="1387"/>
    <x v="1"/>
    <x v="0"/>
    <x v="0"/>
    <s v="No"/>
    <s v="Y"/>
    <n v="3"/>
    <n v="-2"/>
    <n v="0"/>
    <x v="13"/>
    <x v="1"/>
    <m/>
    <n v="0"/>
    <n v="1"/>
    <n v="937"/>
    <n v="1"/>
    <x v="3"/>
    <x v="0"/>
    <n v="1"/>
    <n v="32"/>
    <n v="3"/>
    <n v="3"/>
    <x v="3"/>
    <n v="9888"/>
    <n v="6770"/>
    <n v="1"/>
    <n v="21"/>
    <n v="4"/>
    <n v="1"/>
    <n v="80"/>
    <n v="0"/>
    <n v="14"/>
    <n v="2"/>
    <n v="14"/>
    <n v="8"/>
    <n v="2"/>
    <n v="1"/>
  </r>
  <r>
    <s v="No"/>
    <s v="Non-Travel"/>
    <x v="1"/>
    <s v="Current Employees"/>
    <x v="1"/>
    <x v="2"/>
    <x v="1388"/>
    <x v="1388"/>
    <x v="0"/>
    <x v="3"/>
    <x v="1"/>
    <s v="Yes"/>
    <s v="Y"/>
    <n v="2"/>
    <n v="-2"/>
    <n v="0"/>
    <x v="16"/>
    <x v="1"/>
    <m/>
    <n v="0"/>
    <n v="1"/>
    <n v="661"/>
    <n v="1"/>
    <x v="2"/>
    <x v="0"/>
    <n v="1"/>
    <n v="60"/>
    <n v="2"/>
    <n v="4"/>
    <x v="2"/>
    <n v="12965"/>
    <n v="22308"/>
    <n v="4"/>
    <n v="20"/>
    <n v="4"/>
    <n v="4"/>
    <n v="80"/>
    <n v="3"/>
    <n v="27"/>
    <n v="2"/>
    <n v="3"/>
    <n v="2"/>
    <n v="0"/>
    <n v="2"/>
  </r>
  <r>
    <s v="No"/>
    <s v="Non-Travel"/>
    <x v="2"/>
    <s v="Current Employees"/>
    <x v="0"/>
    <x v="0"/>
    <x v="1389"/>
    <x v="1389"/>
    <x v="0"/>
    <x v="0"/>
    <x v="2"/>
    <s v="Yes"/>
    <s v="Y"/>
    <n v="2"/>
    <n v="-2"/>
    <n v="0"/>
    <x v="3"/>
    <x v="1"/>
    <m/>
    <n v="0"/>
    <n v="1"/>
    <n v="530"/>
    <n v="16"/>
    <x v="3"/>
    <x v="0"/>
    <n v="3"/>
    <n v="36"/>
    <n v="3"/>
    <n v="2"/>
    <x v="0"/>
    <n v="5368"/>
    <n v="16130"/>
    <n v="1"/>
    <n v="25"/>
    <n v="4"/>
    <n v="3"/>
    <n v="80"/>
    <n v="1"/>
    <n v="7"/>
    <n v="3"/>
    <n v="6"/>
    <n v="5"/>
    <n v="1"/>
    <n v="2"/>
  </r>
  <r>
    <s v="No"/>
    <s v="Travel_Rarely"/>
    <x v="0"/>
    <s v="Current Employees"/>
    <x v="1"/>
    <x v="0"/>
    <x v="1390"/>
    <x v="1390"/>
    <x v="0"/>
    <x v="7"/>
    <x v="1"/>
    <s v="Yes"/>
    <s v="Y"/>
    <n v="2"/>
    <n v="-2"/>
    <n v="0"/>
    <x v="2"/>
    <x v="1"/>
    <m/>
    <n v="0"/>
    <n v="1"/>
    <n v="161"/>
    <n v="10"/>
    <x v="3"/>
    <x v="0"/>
    <n v="3"/>
    <n v="42"/>
    <n v="4"/>
    <n v="3"/>
    <x v="0"/>
    <n v="13744"/>
    <n v="15471"/>
    <n v="1"/>
    <n v="25"/>
    <n v="4"/>
    <n v="1"/>
    <n v="80"/>
    <n v="1"/>
    <n v="16"/>
    <n v="3"/>
    <n v="16"/>
    <n v="11"/>
    <n v="6"/>
    <n v="8"/>
  </r>
  <r>
    <s v="No"/>
    <s v="Travel_Rarely"/>
    <x v="3"/>
    <s v="Current Employees"/>
    <x v="1"/>
    <x v="2"/>
    <x v="1391"/>
    <x v="1391"/>
    <x v="0"/>
    <x v="7"/>
    <x v="1"/>
    <s v="Yes"/>
    <s v="Y"/>
    <n v="3"/>
    <n v="-2"/>
    <n v="0"/>
    <x v="34"/>
    <x v="1"/>
    <m/>
    <n v="0"/>
    <n v="1"/>
    <n v="1055"/>
    <n v="1"/>
    <x v="3"/>
    <x v="0"/>
    <n v="4"/>
    <n v="76"/>
    <n v="3"/>
    <n v="5"/>
    <x v="3"/>
    <n v="19701"/>
    <n v="22456"/>
    <n v="3"/>
    <n v="21"/>
    <n v="4"/>
    <n v="3"/>
    <n v="80"/>
    <n v="1"/>
    <n v="32"/>
    <n v="3"/>
    <n v="9"/>
    <n v="8"/>
    <n v="1"/>
    <n v="5"/>
  </r>
  <r>
    <s v="No"/>
    <s v="Travel_Rarely"/>
    <x v="0"/>
    <s v="Current Employees"/>
    <x v="1"/>
    <x v="1"/>
    <x v="1392"/>
    <x v="1392"/>
    <x v="0"/>
    <x v="1"/>
    <x v="1"/>
    <s v="Yes"/>
    <s v="Y"/>
    <n v="2"/>
    <n v="-2"/>
    <n v="0"/>
    <x v="9"/>
    <x v="1"/>
    <m/>
    <n v="0"/>
    <n v="1"/>
    <n v="430"/>
    <n v="2"/>
    <x v="2"/>
    <x v="0"/>
    <n v="4"/>
    <n v="73"/>
    <n v="3"/>
    <n v="2"/>
    <x v="1"/>
    <n v="6962"/>
    <n v="19573"/>
    <n v="4"/>
    <n v="22"/>
    <n v="4"/>
    <n v="4"/>
    <n v="80"/>
    <n v="1"/>
    <n v="15"/>
    <n v="3"/>
    <n v="1"/>
    <n v="0"/>
    <n v="0"/>
    <n v="0"/>
  </r>
  <r>
    <s v="No"/>
    <s v="Travel_Rarely"/>
    <x v="2"/>
    <s v="Current Employees"/>
    <x v="0"/>
    <x v="1"/>
    <x v="1393"/>
    <x v="1393"/>
    <x v="0"/>
    <x v="0"/>
    <x v="2"/>
    <s v="Yes"/>
    <s v="Y"/>
    <n v="3"/>
    <n v="-2"/>
    <n v="0"/>
    <x v="36"/>
    <x v="1"/>
    <m/>
    <n v="0"/>
    <n v="1"/>
    <n v="1382"/>
    <n v="8"/>
    <x v="0"/>
    <x v="0"/>
    <n v="1"/>
    <n v="85"/>
    <n v="3"/>
    <n v="2"/>
    <x v="2"/>
    <n v="4907"/>
    <n v="13684"/>
    <n v="0"/>
    <n v="22"/>
    <n v="4"/>
    <n v="2"/>
    <n v="80"/>
    <n v="1"/>
    <n v="6"/>
    <n v="2"/>
    <n v="5"/>
    <n v="3"/>
    <n v="0"/>
    <n v="4"/>
  </r>
  <r>
    <s v="No"/>
    <s v="Travel_Rarely"/>
    <x v="0"/>
    <s v="Current Employees"/>
    <x v="0"/>
    <x v="3"/>
    <x v="1394"/>
    <x v="1394"/>
    <x v="0"/>
    <x v="6"/>
    <x v="1"/>
    <s v="Yes"/>
    <s v="Y"/>
    <n v="4"/>
    <n v="-2"/>
    <n v="0"/>
    <x v="8"/>
    <x v="1"/>
    <m/>
    <n v="0"/>
    <n v="1"/>
    <n v="723"/>
    <n v="2"/>
    <x v="2"/>
    <x v="0"/>
    <n v="2"/>
    <n v="77"/>
    <n v="1"/>
    <n v="2"/>
    <x v="3"/>
    <n v="5405"/>
    <n v="4244"/>
    <n v="2"/>
    <n v="20"/>
    <n v="4"/>
    <n v="1"/>
    <n v="80"/>
    <n v="2"/>
    <n v="20"/>
    <n v="2"/>
    <n v="4"/>
    <n v="2"/>
    <n v="0"/>
    <n v="3"/>
  </r>
  <r>
    <s v="No"/>
    <s v="Travel_Rarely"/>
    <x v="0"/>
    <s v="Current Employees"/>
    <x v="2"/>
    <x v="2"/>
    <x v="1395"/>
    <x v="1395"/>
    <x v="1"/>
    <x v="5"/>
    <x v="0"/>
    <s v="Yes"/>
    <s v="Y"/>
    <n v="2"/>
    <n v="-2"/>
    <n v="0"/>
    <x v="32"/>
    <x v="1"/>
    <m/>
    <n v="0"/>
    <n v="1"/>
    <n v="898"/>
    <n v="6"/>
    <x v="0"/>
    <x v="0"/>
    <n v="3"/>
    <n v="38"/>
    <n v="3"/>
    <n v="4"/>
    <x v="0"/>
    <n v="16437"/>
    <n v="17381"/>
    <n v="1"/>
    <n v="21"/>
    <n v="4"/>
    <n v="4"/>
    <n v="80"/>
    <n v="0"/>
    <n v="21"/>
    <n v="3"/>
    <n v="21"/>
    <n v="7"/>
    <n v="7"/>
    <n v="7"/>
  </r>
  <r>
    <s v="No"/>
    <s v="Travel_Rarely"/>
    <x v="2"/>
    <s v="Current Employees"/>
    <x v="1"/>
    <x v="0"/>
    <x v="1396"/>
    <x v="1396"/>
    <x v="1"/>
    <x v="3"/>
    <x v="1"/>
    <s v="Yes"/>
    <s v="Y"/>
    <n v="0"/>
    <n v="-2"/>
    <n v="0"/>
    <x v="4"/>
    <x v="1"/>
    <m/>
    <n v="0"/>
    <n v="1"/>
    <n v="155"/>
    <n v="4"/>
    <x v="3"/>
    <x v="0"/>
    <n v="2"/>
    <n v="87"/>
    <n v="4"/>
    <n v="2"/>
    <x v="1"/>
    <n v="6142"/>
    <n v="5174"/>
    <n v="1"/>
    <n v="20"/>
    <n v="4"/>
    <n v="2"/>
    <n v="80"/>
    <n v="1"/>
    <n v="6"/>
    <n v="3"/>
    <n v="6"/>
    <n v="2"/>
    <n v="0"/>
    <n v="3"/>
  </r>
  <r>
    <s v="No"/>
    <s v="Travel_Rarely"/>
    <x v="0"/>
    <s v="Current Employees"/>
    <x v="1"/>
    <x v="2"/>
    <x v="1397"/>
    <x v="1397"/>
    <x v="1"/>
    <x v="1"/>
    <x v="1"/>
    <s v="Yes"/>
    <s v="Y"/>
    <n v="2"/>
    <n v="-2"/>
    <n v="0"/>
    <x v="2"/>
    <x v="1"/>
    <m/>
    <n v="0"/>
    <n v="1"/>
    <n v="783"/>
    <n v="7"/>
    <x v="2"/>
    <x v="0"/>
    <n v="4"/>
    <n v="78"/>
    <n v="3"/>
    <n v="2"/>
    <x v="3"/>
    <n v="4284"/>
    <n v="13588"/>
    <n v="5"/>
    <n v="22"/>
    <n v="4"/>
    <n v="3"/>
    <n v="80"/>
    <n v="1"/>
    <n v="16"/>
    <n v="3"/>
    <n v="5"/>
    <n v="3"/>
    <n v="0"/>
    <n v="4"/>
  </r>
  <r>
    <s v="No"/>
    <s v="Travel_Rarely"/>
    <x v="2"/>
    <s v="Current Employees"/>
    <x v="0"/>
    <x v="4"/>
    <x v="1398"/>
    <x v="1398"/>
    <x v="1"/>
    <x v="6"/>
    <x v="1"/>
    <s v="Yes"/>
    <s v="Y"/>
    <n v="4"/>
    <n v="-2"/>
    <n v="0"/>
    <x v="13"/>
    <x v="1"/>
    <m/>
    <n v="0"/>
    <n v="1"/>
    <n v="1440"/>
    <n v="7"/>
    <x v="0"/>
    <x v="0"/>
    <n v="4"/>
    <n v="55"/>
    <n v="3"/>
    <n v="1"/>
    <x v="0"/>
    <n v="2308"/>
    <n v="4944"/>
    <n v="0"/>
    <n v="25"/>
    <n v="4"/>
    <n v="2"/>
    <n v="80"/>
    <n v="1"/>
    <n v="12"/>
    <n v="3"/>
    <n v="11"/>
    <n v="10"/>
    <n v="5"/>
    <n v="7"/>
  </r>
  <r>
    <s v="No"/>
    <s v="Travel_Rarely"/>
    <x v="0"/>
    <s v="Current Employees"/>
    <x v="0"/>
    <x v="0"/>
    <x v="1399"/>
    <x v="1399"/>
    <x v="1"/>
    <x v="6"/>
    <x v="0"/>
    <s v="Yes"/>
    <s v="Y"/>
    <n v="3"/>
    <n v="-2"/>
    <n v="0"/>
    <x v="9"/>
    <x v="1"/>
    <m/>
    <n v="0"/>
    <n v="1"/>
    <n v="1157"/>
    <n v="2"/>
    <x v="2"/>
    <x v="0"/>
    <n v="3"/>
    <n v="70"/>
    <n v="3"/>
    <n v="1"/>
    <x v="0"/>
    <n v="2644"/>
    <n v="17001"/>
    <n v="3"/>
    <n v="21"/>
    <n v="4"/>
    <n v="4"/>
    <n v="80"/>
    <n v="0"/>
    <n v="7"/>
    <n v="2"/>
    <n v="3"/>
    <n v="2"/>
    <n v="1"/>
    <n v="2"/>
  </r>
  <r>
    <s v="Yes"/>
    <s v="Travel_Frequently"/>
    <x v="2"/>
    <s v="Ex-Employees"/>
    <x v="2"/>
    <x v="5"/>
    <x v="1400"/>
    <x v="1400"/>
    <x v="0"/>
    <x v="8"/>
    <x v="2"/>
    <s v="No"/>
    <s v="Y"/>
    <n v="0"/>
    <n v="-2"/>
    <n v="0"/>
    <x v="7"/>
    <x v="0"/>
    <n v="1"/>
    <n v="1"/>
    <n v="0"/>
    <n v="600"/>
    <n v="8"/>
    <x v="3"/>
    <x v="0"/>
    <n v="3"/>
    <n v="66"/>
    <n v="2"/>
    <n v="1"/>
    <x v="0"/>
    <n v="2180"/>
    <n v="9732"/>
    <n v="6"/>
    <n v="11"/>
    <n v="3"/>
    <n v="3"/>
    <n v="80"/>
    <n v="1"/>
    <n v="6"/>
    <n v="2"/>
    <n v="4"/>
    <n v="2"/>
    <n v="1"/>
    <n v="2"/>
  </r>
  <r>
    <s v="Yes"/>
    <s v="Travel_Frequently"/>
    <x v="2"/>
    <s v="Ex-Employees"/>
    <x v="2"/>
    <x v="5"/>
    <x v="1401"/>
    <x v="1401"/>
    <x v="0"/>
    <x v="8"/>
    <x v="1"/>
    <s v="No"/>
    <s v="Y"/>
    <n v="2"/>
    <n v="-2"/>
    <n v="0"/>
    <x v="4"/>
    <x v="0"/>
    <n v="1"/>
    <n v="1"/>
    <n v="0"/>
    <n v="1337"/>
    <n v="22"/>
    <x v="3"/>
    <x v="0"/>
    <n v="1"/>
    <n v="58"/>
    <n v="2"/>
    <n v="1"/>
    <x v="1"/>
    <n v="2863"/>
    <n v="19555"/>
    <n v="1"/>
    <n v="12"/>
    <n v="3"/>
    <n v="1"/>
    <n v="80"/>
    <n v="0"/>
    <n v="1"/>
    <n v="3"/>
    <n v="1"/>
    <n v="0"/>
    <n v="0"/>
    <n v="0"/>
  </r>
  <r>
    <s v="Yes"/>
    <s v="Travel_Frequently"/>
    <x v="2"/>
    <s v="Ex-Employees"/>
    <x v="1"/>
    <x v="0"/>
    <x v="1402"/>
    <x v="1402"/>
    <x v="0"/>
    <x v="3"/>
    <x v="0"/>
    <s v="No"/>
    <s v="Y"/>
    <n v="2"/>
    <n v="-2"/>
    <n v="0"/>
    <x v="12"/>
    <x v="0"/>
    <n v="1"/>
    <n v="1"/>
    <n v="0"/>
    <n v="1445"/>
    <n v="1"/>
    <x v="4"/>
    <x v="0"/>
    <n v="3"/>
    <n v="100"/>
    <n v="4"/>
    <n v="3"/>
    <x v="1"/>
    <n v="7446"/>
    <n v="8931"/>
    <n v="1"/>
    <n v="11"/>
    <n v="3"/>
    <n v="1"/>
    <n v="80"/>
    <n v="0"/>
    <n v="10"/>
    <n v="3"/>
    <n v="10"/>
    <n v="8"/>
    <n v="4"/>
    <n v="7"/>
  </r>
  <r>
    <s v="Yes"/>
    <s v="Travel_Frequently"/>
    <x v="2"/>
    <s v="Ex-Employees"/>
    <x v="1"/>
    <x v="0"/>
    <x v="1403"/>
    <x v="1403"/>
    <x v="0"/>
    <x v="1"/>
    <x v="0"/>
    <s v="No"/>
    <s v="Y"/>
    <n v="2"/>
    <n v="-2"/>
    <n v="0"/>
    <x v="12"/>
    <x v="0"/>
    <n v="1"/>
    <n v="1"/>
    <n v="0"/>
    <n v="561"/>
    <n v="3"/>
    <x v="3"/>
    <x v="0"/>
    <n v="4"/>
    <n v="33"/>
    <n v="3"/>
    <n v="1"/>
    <x v="2"/>
    <n v="4084"/>
    <n v="4156"/>
    <n v="1"/>
    <n v="12"/>
    <n v="3"/>
    <n v="1"/>
    <n v="80"/>
    <n v="0"/>
    <n v="7"/>
    <n v="1"/>
    <n v="7"/>
    <n v="2"/>
    <n v="7"/>
    <n v="7"/>
  </r>
  <r>
    <s v="Yes"/>
    <s v="Travel_Frequently"/>
    <x v="2"/>
    <s v="Ex-Employees"/>
    <x v="0"/>
    <x v="4"/>
    <x v="1404"/>
    <x v="1404"/>
    <x v="0"/>
    <x v="0"/>
    <x v="0"/>
    <s v="No"/>
    <s v="Y"/>
    <n v="4"/>
    <n v="-2"/>
    <n v="0"/>
    <x v="11"/>
    <x v="0"/>
    <n v="1"/>
    <n v="1"/>
    <n v="0"/>
    <n v="115"/>
    <n v="13"/>
    <x v="3"/>
    <x v="0"/>
    <n v="4"/>
    <n v="51"/>
    <n v="3"/>
    <n v="2"/>
    <x v="0"/>
    <n v="5765"/>
    <n v="17485"/>
    <n v="5"/>
    <n v="11"/>
    <n v="3"/>
    <n v="1"/>
    <n v="80"/>
    <n v="0"/>
    <n v="7"/>
    <n v="1"/>
    <n v="5"/>
    <n v="3"/>
    <n v="0"/>
    <n v="0"/>
  </r>
  <r>
    <s v="Yes"/>
    <s v="Travel_Frequently"/>
    <x v="2"/>
    <s v="Ex-Employees"/>
    <x v="0"/>
    <x v="0"/>
    <x v="1405"/>
    <x v="1405"/>
    <x v="0"/>
    <x v="6"/>
    <x v="0"/>
    <s v="No"/>
    <s v="Y"/>
    <n v="3"/>
    <n v="-2"/>
    <n v="0"/>
    <x v="12"/>
    <x v="0"/>
    <n v="1"/>
    <n v="1"/>
    <n v="0"/>
    <n v="667"/>
    <n v="1"/>
    <x v="2"/>
    <x v="0"/>
    <n v="2"/>
    <n v="50"/>
    <n v="1"/>
    <n v="1"/>
    <x v="2"/>
    <n v="1359"/>
    <n v="16154"/>
    <n v="1"/>
    <n v="12"/>
    <n v="3"/>
    <n v="2"/>
    <n v="80"/>
    <n v="0"/>
    <n v="1"/>
    <n v="3"/>
    <n v="1"/>
    <n v="0"/>
    <n v="0"/>
    <n v="0"/>
  </r>
  <r>
    <s v="Yes"/>
    <s v="Travel_Rarely"/>
    <x v="2"/>
    <s v="Ex-Employees"/>
    <x v="2"/>
    <x v="4"/>
    <x v="1406"/>
    <x v="1406"/>
    <x v="0"/>
    <x v="8"/>
    <x v="1"/>
    <s v="No"/>
    <s v="Y"/>
    <n v="0"/>
    <n v="-2"/>
    <n v="0"/>
    <x v="13"/>
    <x v="0"/>
    <n v="1"/>
    <n v="1"/>
    <n v="0"/>
    <n v="1107"/>
    <n v="9"/>
    <x v="2"/>
    <x v="0"/>
    <n v="4"/>
    <n v="52"/>
    <n v="3"/>
    <n v="1"/>
    <x v="0"/>
    <n v="2742"/>
    <n v="3072"/>
    <n v="1"/>
    <n v="15"/>
    <n v="3"/>
    <n v="4"/>
    <n v="80"/>
    <n v="0"/>
    <n v="2"/>
    <n v="3"/>
    <n v="2"/>
    <n v="2"/>
    <n v="2"/>
    <n v="2"/>
  </r>
  <r>
    <s v="Yes"/>
    <s v="Travel_Rarely"/>
    <x v="1"/>
    <s v="Ex-Employees"/>
    <x v="1"/>
    <x v="4"/>
    <x v="1407"/>
    <x v="1407"/>
    <x v="0"/>
    <x v="3"/>
    <x v="1"/>
    <s v="No"/>
    <s v="Y"/>
    <n v="4"/>
    <n v="-2"/>
    <n v="0"/>
    <x v="16"/>
    <x v="0"/>
    <n v="1"/>
    <n v="1"/>
    <n v="0"/>
    <n v="607"/>
    <n v="2"/>
    <x v="4"/>
    <x v="0"/>
    <n v="3"/>
    <n v="78"/>
    <n v="2"/>
    <n v="3"/>
    <x v="0"/>
    <n v="10169"/>
    <n v="14618"/>
    <n v="0"/>
    <n v="16"/>
    <n v="3"/>
    <n v="2"/>
    <n v="80"/>
    <n v="1"/>
    <n v="34"/>
    <n v="3"/>
    <n v="33"/>
    <n v="7"/>
    <n v="1"/>
    <n v="9"/>
  </r>
  <r>
    <s v="Yes"/>
    <s v="Travel_Rarely"/>
    <x v="2"/>
    <s v="Ex-Employees"/>
    <x v="1"/>
    <x v="0"/>
    <x v="1408"/>
    <x v="1408"/>
    <x v="0"/>
    <x v="1"/>
    <x v="0"/>
    <s v="No"/>
    <s v="Y"/>
    <n v="3"/>
    <n v="-2"/>
    <n v="0"/>
    <x v="12"/>
    <x v="0"/>
    <n v="1"/>
    <n v="1"/>
    <n v="0"/>
    <n v="202"/>
    <n v="8"/>
    <x v="3"/>
    <x v="0"/>
    <n v="1"/>
    <n v="34"/>
    <n v="2"/>
    <n v="1"/>
    <x v="1"/>
    <n v="1261"/>
    <n v="22262"/>
    <n v="1"/>
    <n v="12"/>
    <n v="3"/>
    <n v="3"/>
    <n v="80"/>
    <n v="0"/>
    <n v="1"/>
    <n v="4"/>
    <n v="1"/>
    <n v="0"/>
    <n v="0"/>
    <n v="0"/>
  </r>
  <r>
    <s v="Yes"/>
    <s v="Travel_Rarely"/>
    <x v="2"/>
    <s v="Ex-Employees"/>
    <x v="0"/>
    <x v="3"/>
    <x v="1409"/>
    <x v="1409"/>
    <x v="0"/>
    <x v="6"/>
    <x v="0"/>
    <s v="No"/>
    <s v="Y"/>
    <n v="3"/>
    <n v="-2"/>
    <n v="0"/>
    <x v="11"/>
    <x v="0"/>
    <n v="1"/>
    <n v="1"/>
    <n v="0"/>
    <n v="428"/>
    <n v="9"/>
    <x v="3"/>
    <x v="0"/>
    <n v="2"/>
    <n v="52"/>
    <n v="1"/>
    <n v="1"/>
    <x v="3"/>
    <n v="2760"/>
    <n v="14630"/>
    <n v="1"/>
    <n v="13"/>
    <n v="3"/>
    <n v="3"/>
    <n v="80"/>
    <n v="0"/>
    <n v="2"/>
    <n v="3"/>
    <n v="2"/>
    <n v="2"/>
    <n v="2"/>
    <n v="2"/>
  </r>
  <r>
    <s v="Yes"/>
    <s v="Travel_Frequently"/>
    <x v="2"/>
    <s v="Ex-Employees"/>
    <x v="1"/>
    <x v="0"/>
    <x v="1410"/>
    <x v="1410"/>
    <x v="1"/>
    <x v="2"/>
    <x v="1"/>
    <s v="No"/>
    <s v="Y"/>
    <n v="3"/>
    <n v="-2"/>
    <n v="0"/>
    <x v="13"/>
    <x v="0"/>
    <n v="1"/>
    <n v="1"/>
    <n v="0"/>
    <n v="234"/>
    <n v="9"/>
    <x v="2"/>
    <x v="0"/>
    <n v="4"/>
    <n v="93"/>
    <n v="3"/>
    <n v="2"/>
    <x v="3"/>
    <n v="5346"/>
    <n v="6208"/>
    <n v="4"/>
    <n v="17"/>
    <n v="3"/>
    <n v="3"/>
    <n v="80"/>
    <n v="1"/>
    <n v="11"/>
    <n v="2"/>
    <n v="7"/>
    <n v="1"/>
    <n v="0"/>
    <n v="7"/>
  </r>
  <r>
    <s v="Yes"/>
    <s v="Travel_Frequently"/>
    <x v="2"/>
    <s v="Ex-Employees"/>
    <x v="1"/>
    <x v="2"/>
    <x v="1411"/>
    <x v="1411"/>
    <x v="1"/>
    <x v="2"/>
    <x v="0"/>
    <s v="No"/>
    <s v="Y"/>
    <n v="2"/>
    <n v="-2"/>
    <n v="0"/>
    <x v="14"/>
    <x v="0"/>
    <n v="1"/>
    <n v="1"/>
    <n v="0"/>
    <n v="289"/>
    <n v="2"/>
    <x v="0"/>
    <x v="0"/>
    <n v="3"/>
    <n v="38"/>
    <n v="2"/>
    <n v="1"/>
    <x v="3"/>
    <n v="2561"/>
    <n v="5355"/>
    <n v="7"/>
    <n v="11"/>
    <n v="3"/>
    <n v="3"/>
    <n v="80"/>
    <n v="0"/>
    <n v="8"/>
    <n v="2"/>
    <n v="0"/>
    <n v="0"/>
    <n v="0"/>
    <n v="0"/>
  </r>
  <r>
    <s v="Yes"/>
    <s v="Travel_Frequently"/>
    <x v="1"/>
    <s v="Ex-Employees"/>
    <x v="0"/>
    <x v="0"/>
    <x v="1412"/>
    <x v="1412"/>
    <x v="1"/>
    <x v="0"/>
    <x v="2"/>
    <s v="No"/>
    <s v="Y"/>
    <n v="3"/>
    <n v="-2"/>
    <n v="0"/>
    <x v="24"/>
    <x v="0"/>
    <n v="1"/>
    <n v="1"/>
    <n v="0"/>
    <n v="878"/>
    <n v="1"/>
    <x v="2"/>
    <x v="0"/>
    <n v="2"/>
    <n v="94"/>
    <n v="3"/>
    <n v="2"/>
    <x v="2"/>
    <n v="6728"/>
    <n v="14255"/>
    <n v="7"/>
    <n v="12"/>
    <n v="3"/>
    <n v="4"/>
    <n v="80"/>
    <n v="2"/>
    <n v="12"/>
    <n v="3"/>
    <n v="6"/>
    <n v="3"/>
    <n v="0"/>
    <n v="1"/>
  </r>
  <r>
    <s v="Yes"/>
    <s v="Travel_Frequently"/>
    <x v="1"/>
    <s v="Ex-Employees"/>
    <x v="0"/>
    <x v="0"/>
    <x v="1413"/>
    <x v="1413"/>
    <x v="1"/>
    <x v="0"/>
    <x v="1"/>
    <s v="No"/>
    <s v="Y"/>
    <n v="3"/>
    <n v="-2"/>
    <n v="0"/>
    <x v="40"/>
    <x v="0"/>
    <n v="1"/>
    <n v="1"/>
    <n v="0"/>
    <n v="1093"/>
    <n v="9"/>
    <x v="3"/>
    <x v="0"/>
    <n v="3"/>
    <n v="82"/>
    <n v="1"/>
    <n v="4"/>
    <x v="2"/>
    <n v="12936"/>
    <n v="24164"/>
    <n v="7"/>
    <n v="11"/>
    <n v="3"/>
    <n v="3"/>
    <n v="80"/>
    <n v="0"/>
    <n v="25"/>
    <n v="1"/>
    <n v="23"/>
    <n v="5"/>
    <n v="14"/>
    <n v="10"/>
  </r>
  <r>
    <s v="Yes"/>
    <s v="Travel_Frequently"/>
    <x v="2"/>
    <s v="Ex-Employees"/>
    <x v="0"/>
    <x v="4"/>
    <x v="1414"/>
    <x v="1414"/>
    <x v="1"/>
    <x v="6"/>
    <x v="1"/>
    <s v="No"/>
    <s v="Y"/>
    <n v="3"/>
    <n v="-2"/>
    <n v="0"/>
    <x v="14"/>
    <x v="0"/>
    <n v="1"/>
    <n v="1"/>
    <n v="0"/>
    <n v="1496"/>
    <n v="1"/>
    <x v="3"/>
    <x v="0"/>
    <n v="1"/>
    <n v="92"/>
    <n v="3"/>
    <n v="1"/>
    <x v="0"/>
    <n v="2909"/>
    <n v="15747"/>
    <n v="3"/>
    <n v="15"/>
    <n v="3"/>
    <n v="4"/>
    <n v="80"/>
    <n v="1"/>
    <n v="5"/>
    <n v="4"/>
    <n v="3"/>
    <n v="2"/>
    <n v="1"/>
    <n v="2"/>
  </r>
  <r>
    <s v="Yes"/>
    <s v="Travel_Frequently"/>
    <x v="4"/>
    <s v="Ex-Employees"/>
    <x v="0"/>
    <x v="3"/>
    <x v="1415"/>
    <x v="1415"/>
    <x v="1"/>
    <x v="6"/>
    <x v="1"/>
    <s v="No"/>
    <s v="Y"/>
    <n v="3"/>
    <n v="-2"/>
    <n v="0"/>
    <x v="30"/>
    <x v="0"/>
    <n v="1"/>
    <n v="1"/>
    <n v="0"/>
    <n v="638"/>
    <n v="9"/>
    <x v="3"/>
    <x v="0"/>
    <n v="4"/>
    <n v="33"/>
    <n v="3"/>
    <n v="1"/>
    <x v="3"/>
    <n v="1790"/>
    <n v="26956"/>
    <n v="1"/>
    <n v="19"/>
    <n v="3"/>
    <n v="1"/>
    <n v="80"/>
    <n v="1"/>
    <n v="1"/>
    <n v="2"/>
    <n v="1"/>
    <n v="0"/>
    <n v="1"/>
    <n v="0"/>
  </r>
  <r>
    <s v="Yes"/>
    <s v="Travel_Frequently"/>
    <x v="2"/>
    <s v="Ex-Employees"/>
    <x v="0"/>
    <x v="4"/>
    <x v="1416"/>
    <x v="1416"/>
    <x v="1"/>
    <x v="6"/>
    <x v="0"/>
    <s v="No"/>
    <s v="Y"/>
    <n v="3"/>
    <n v="-2"/>
    <n v="0"/>
    <x v="11"/>
    <x v="0"/>
    <n v="1"/>
    <n v="1"/>
    <n v="0"/>
    <n v="746"/>
    <n v="24"/>
    <x v="3"/>
    <x v="0"/>
    <n v="3"/>
    <n v="45"/>
    <n v="4"/>
    <n v="1"/>
    <x v="0"/>
    <n v="1091"/>
    <n v="10642"/>
    <n v="1"/>
    <n v="17"/>
    <n v="3"/>
    <n v="4"/>
    <n v="80"/>
    <n v="0"/>
    <n v="1"/>
    <n v="3"/>
    <n v="1"/>
    <n v="0"/>
    <n v="0"/>
    <n v="0"/>
  </r>
  <r>
    <s v="Yes"/>
    <s v="Travel_Rarely"/>
    <x v="2"/>
    <s v="Ex-Employees"/>
    <x v="2"/>
    <x v="5"/>
    <x v="1417"/>
    <x v="1417"/>
    <x v="1"/>
    <x v="8"/>
    <x v="1"/>
    <s v="No"/>
    <s v="Y"/>
    <n v="4"/>
    <n v="-2"/>
    <n v="0"/>
    <x v="12"/>
    <x v="0"/>
    <n v="1"/>
    <n v="1"/>
    <n v="0"/>
    <n v="359"/>
    <n v="18"/>
    <x v="4"/>
    <x v="0"/>
    <n v="4"/>
    <n v="89"/>
    <n v="4"/>
    <n v="1"/>
    <x v="3"/>
    <n v="2956"/>
    <n v="21495"/>
    <n v="0"/>
    <n v="17"/>
    <n v="3"/>
    <n v="3"/>
    <n v="80"/>
    <n v="0"/>
    <n v="2"/>
    <n v="3"/>
    <n v="1"/>
    <n v="0"/>
    <n v="0"/>
    <n v="0"/>
  </r>
  <r>
    <s v="Yes"/>
    <s v="Travel_Rarely"/>
    <x v="4"/>
    <s v="Ex-Employees"/>
    <x v="2"/>
    <x v="5"/>
    <x v="1418"/>
    <x v="1418"/>
    <x v="1"/>
    <x v="8"/>
    <x v="1"/>
    <s v="No"/>
    <s v="Y"/>
    <n v="2"/>
    <n v="-2"/>
    <n v="0"/>
    <x v="17"/>
    <x v="0"/>
    <n v="1"/>
    <n v="1"/>
    <n v="0"/>
    <n v="240"/>
    <n v="22"/>
    <x v="1"/>
    <x v="0"/>
    <n v="4"/>
    <n v="58"/>
    <n v="1"/>
    <n v="1"/>
    <x v="2"/>
    <n v="1555"/>
    <n v="11585"/>
    <n v="1"/>
    <n v="11"/>
    <n v="3"/>
    <n v="3"/>
    <n v="80"/>
    <n v="1"/>
    <n v="1"/>
    <n v="3"/>
    <n v="1"/>
    <n v="0"/>
    <n v="0"/>
    <n v="0"/>
  </r>
  <r>
    <s v="Yes"/>
    <s v="Travel_Rarely"/>
    <x v="2"/>
    <s v="Ex-Employees"/>
    <x v="1"/>
    <x v="4"/>
    <x v="1419"/>
    <x v="1419"/>
    <x v="1"/>
    <x v="2"/>
    <x v="2"/>
    <s v="No"/>
    <s v="Y"/>
    <n v="2"/>
    <n v="-2"/>
    <n v="0"/>
    <x v="14"/>
    <x v="0"/>
    <n v="1"/>
    <n v="1"/>
    <n v="0"/>
    <n v="1404"/>
    <n v="17"/>
    <x v="3"/>
    <x v="0"/>
    <n v="3"/>
    <n v="32"/>
    <n v="2"/>
    <n v="1"/>
    <x v="0"/>
    <n v="2367"/>
    <n v="18779"/>
    <n v="5"/>
    <n v="12"/>
    <n v="3"/>
    <n v="1"/>
    <n v="80"/>
    <n v="1"/>
    <n v="6"/>
    <n v="2"/>
    <n v="4"/>
    <n v="1"/>
    <n v="0"/>
    <n v="3"/>
  </r>
  <r>
    <s v="Yes"/>
    <s v="Travel_Rarely"/>
    <x v="3"/>
    <s v="Ex-Employees"/>
    <x v="1"/>
    <x v="4"/>
    <x v="1420"/>
    <x v="1420"/>
    <x v="1"/>
    <x v="2"/>
    <x v="1"/>
    <s v="No"/>
    <s v="Y"/>
    <n v="4"/>
    <n v="-2"/>
    <n v="0"/>
    <x v="29"/>
    <x v="0"/>
    <n v="1"/>
    <n v="1"/>
    <n v="0"/>
    <n v="310"/>
    <n v="7"/>
    <x v="0"/>
    <x v="0"/>
    <n v="4"/>
    <n v="72"/>
    <n v="3"/>
    <n v="1"/>
    <x v="0"/>
    <n v="2339"/>
    <n v="3666"/>
    <n v="8"/>
    <n v="11"/>
    <n v="3"/>
    <n v="4"/>
    <n v="80"/>
    <n v="1"/>
    <n v="14"/>
    <n v="1"/>
    <n v="10"/>
    <n v="9"/>
    <n v="9"/>
    <n v="8"/>
  </r>
  <r>
    <s v="Yes"/>
    <s v="Travel_Rarely"/>
    <x v="0"/>
    <s v="Ex-Employees"/>
    <x v="1"/>
    <x v="2"/>
    <x v="1421"/>
    <x v="1421"/>
    <x v="1"/>
    <x v="3"/>
    <x v="1"/>
    <s v="No"/>
    <s v="Y"/>
    <n v="2"/>
    <n v="-2"/>
    <n v="0"/>
    <x v="8"/>
    <x v="0"/>
    <n v="1"/>
    <n v="1"/>
    <n v="0"/>
    <n v="903"/>
    <n v="2"/>
    <x v="3"/>
    <x v="0"/>
    <n v="3"/>
    <n v="81"/>
    <n v="3"/>
    <n v="2"/>
    <x v="1"/>
    <n v="4855"/>
    <n v="7653"/>
    <n v="4"/>
    <n v="11"/>
    <n v="3"/>
    <n v="1"/>
    <n v="80"/>
    <n v="2"/>
    <n v="7"/>
    <n v="3"/>
    <n v="5"/>
    <n v="2"/>
    <n v="1"/>
    <n v="4"/>
  </r>
  <r>
    <s v="Yes"/>
    <s v="Travel_Rarely"/>
    <x v="2"/>
    <s v="Ex-Employees"/>
    <x v="1"/>
    <x v="4"/>
    <x v="1422"/>
    <x v="1422"/>
    <x v="1"/>
    <x v="1"/>
    <x v="0"/>
    <s v="No"/>
    <s v="Y"/>
    <n v="2"/>
    <n v="-2"/>
    <n v="0"/>
    <x v="11"/>
    <x v="0"/>
    <n v="1"/>
    <n v="1"/>
    <n v="0"/>
    <n v="224"/>
    <n v="1"/>
    <x v="2"/>
    <x v="0"/>
    <n v="1"/>
    <n v="100"/>
    <n v="2"/>
    <n v="1"/>
    <x v="3"/>
    <n v="2362"/>
    <n v="7568"/>
    <n v="6"/>
    <n v="13"/>
    <n v="3"/>
    <n v="3"/>
    <n v="80"/>
    <n v="0"/>
    <n v="11"/>
    <n v="1"/>
    <n v="9"/>
    <n v="7"/>
    <n v="0"/>
    <n v="7"/>
  </r>
  <r>
    <s v="Yes"/>
    <s v="Travel_Rarely"/>
    <x v="3"/>
    <s v="Ex-Employees"/>
    <x v="1"/>
    <x v="0"/>
    <x v="1423"/>
    <x v="1423"/>
    <x v="1"/>
    <x v="2"/>
    <x v="0"/>
    <s v="No"/>
    <s v="Y"/>
    <n v="3"/>
    <n v="-2"/>
    <n v="0"/>
    <x v="29"/>
    <x v="0"/>
    <n v="1"/>
    <n v="1"/>
    <n v="0"/>
    <n v="1162"/>
    <n v="24"/>
    <x v="0"/>
    <x v="0"/>
    <n v="1"/>
    <n v="97"/>
    <n v="3"/>
    <n v="1"/>
    <x v="0"/>
    <n v="2587"/>
    <n v="10261"/>
    <n v="1"/>
    <n v="16"/>
    <n v="3"/>
    <n v="4"/>
    <n v="80"/>
    <n v="0"/>
    <n v="5"/>
    <n v="3"/>
    <n v="4"/>
    <n v="2"/>
    <n v="1"/>
    <n v="0"/>
  </r>
  <r>
    <s v="Yes"/>
    <s v="Travel_Rarely"/>
    <x v="0"/>
    <s v="Ex-Employees"/>
    <x v="1"/>
    <x v="0"/>
    <x v="1424"/>
    <x v="1424"/>
    <x v="1"/>
    <x v="2"/>
    <x v="0"/>
    <s v="No"/>
    <s v="Y"/>
    <n v="3"/>
    <n v="-2"/>
    <n v="0"/>
    <x v="32"/>
    <x v="0"/>
    <n v="1"/>
    <n v="1"/>
    <n v="0"/>
    <n v="676"/>
    <n v="9"/>
    <x v="2"/>
    <x v="0"/>
    <n v="4"/>
    <n v="86"/>
    <n v="3"/>
    <n v="1"/>
    <x v="3"/>
    <n v="2018"/>
    <n v="21831"/>
    <n v="3"/>
    <n v="14"/>
    <n v="3"/>
    <n v="2"/>
    <n v="80"/>
    <n v="0"/>
    <n v="15"/>
    <n v="1"/>
    <n v="5"/>
    <n v="4"/>
    <n v="1"/>
    <n v="0"/>
  </r>
  <r>
    <s v="Yes"/>
    <s v="Travel_Rarely"/>
    <x v="0"/>
    <s v="Ex-Employees"/>
    <x v="1"/>
    <x v="2"/>
    <x v="1425"/>
    <x v="1425"/>
    <x v="1"/>
    <x v="3"/>
    <x v="0"/>
    <s v="No"/>
    <s v="Y"/>
    <n v="4"/>
    <n v="-2"/>
    <n v="0"/>
    <x v="2"/>
    <x v="0"/>
    <n v="1"/>
    <n v="1"/>
    <n v="0"/>
    <n v="370"/>
    <n v="10"/>
    <x v="2"/>
    <x v="0"/>
    <n v="4"/>
    <n v="58"/>
    <n v="3"/>
    <n v="2"/>
    <x v="3"/>
    <n v="4213"/>
    <n v="4992"/>
    <n v="1"/>
    <n v="15"/>
    <n v="3"/>
    <n v="2"/>
    <n v="80"/>
    <n v="0"/>
    <n v="10"/>
    <n v="1"/>
    <n v="10"/>
    <n v="3"/>
    <n v="0"/>
    <n v="8"/>
  </r>
  <r>
    <s v="Yes"/>
    <s v="Travel_Rarely"/>
    <x v="2"/>
    <s v="Ex-Employees"/>
    <x v="1"/>
    <x v="0"/>
    <x v="1426"/>
    <x v="1426"/>
    <x v="1"/>
    <x v="2"/>
    <x v="0"/>
    <s v="No"/>
    <s v="Y"/>
    <n v="2"/>
    <n v="-2"/>
    <n v="0"/>
    <x v="5"/>
    <x v="0"/>
    <n v="1"/>
    <n v="1"/>
    <n v="0"/>
    <n v="1259"/>
    <n v="2"/>
    <x v="2"/>
    <x v="0"/>
    <n v="4"/>
    <n v="95"/>
    <n v="3"/>
    <n v="1"/>
    <x v="1"/>
    <n v="1393"/>
    <n v="24852"/>
    <n v="1"/>
    <n v="12"/>
    <n v="3"/>
    <n v="1"/>
    <n v="80"/>
    <n v="0"/>
    <n v="1"/>
    <n v="3"/>
    <n v="1"/>
    <n v="0"/>
    <n v="0"/>
    <n v="0"/>
  </r>
  <r>
    <s v="Yes"/>
    <s v="Travel_Rarely"/>
    <x v="1"/>
    <s v="Ex-Employees"/>
    <x v="0"/>
    <x v="3"/>
    <x v="1427"/>
    <x v="1427"/>
    <x v="1"/>
    <x v="0"/>
    <x v="2"/>
    <s v="No"/>
    <s v="Y"/>
    <n v="1"/>
    <n v="-2"/>
    <n v="0"/>
    <x v="21"/>
    <x v="0"/>
    <n v="1"/>
    <n v="1"/>
    <n v="0"/>
    <n v="377"/>
    <n v="9"/>
    <x v="3"/>
    <x v="0"/>
    <n v="1"/>
    <n v="52"/>
    <n v="3"/>
    <n v="3"/>
    <x v="3"/>
    <n v="10096"/>
    <n v="15986"/>
    <n v="4"/>
    <n v="11"/>
    <n v="3"/>
    <n v="1"/>
    <n v="80"/>
    <n v="1"/>
    <n v="28"/>
    <n v="4"/>
    <n v="7"/>
    <n v="7"/>
    <n v="4"/>
    <n v="3"/>
  </r>
  <r>
    <s v="Yes"/>
    <s v="Travel_Rarely"/>
    <x v="2"/>
    <s v="Ex-Employees"/>
    <x v="0"/>
    <x v="0"/>
    <x v="1428"/>
    <x v="1428"/>
    <x v="1"/>
    <x v="6"/>
    <x v="1"/>
    <s v="No"/>
    <s v="Y"/>
    <n v="2"/>
    <n v="-2"/>
    <n v="0"/>
    <x v="36"/>
    <x v="0"/>
    <n v="1"/>
    <n v="1"/>
    <n v="0"/>
    <n v="383"/>
    <n v="9"/>
    <x v="0"/>
    <x v="0"/>
    <n v="1"/>
    <n v="68"/>
    <n v="2"/>
    <n v="1"/>
    <x v="3"/>
    <n v="4400"/>
    <n v="15182"/>
    <n v="3"/>
    <n v="12"/>
    <n v="3"/>
    <n v="1"/>
    <n v="80"/>
    <n v="0"/>
    <n v="6"/>
    <n v="3"/>
    <n v="3"/>
    <n v="2"/>
    <n v="2"/>
    <n v="2"/>
  </r>
  <r>
    <s v="Yes"/>
    <s v="Travel_Rarely"/>
    <x v="0"/>
    <s v="Ex-Employees"/>
    <x v="0"/>
    <x v="2"/>
    <x v="1429"/>
    <x v="1429"/>
    <x v="1"/>
    <x v="0"/>
    <x v="1"/>
    <s v="No"/>
    <s v="Y"/>
    <n v="3"/>
    <n v="-2"/>
    <n v="0"/>
    <x v="10"/>
    <x v="0"/>
    <n v="1"/>
    <n v="1"/>
    <n v="0"/>
    <n v="737"/>
    <n v="10"/>
    <x v="3"/>
    <x v="0"/>
    <n v="4"/>
    <n v="55"/>
    <n v="2"/>
    <n v="3"/>
    <x v="3"/>
    <n v="10306"/>
    <n v="21530"/>
    <n v="9"/>
    <n v="17"/>
    <n v="3"/>
    <n v="3"/>
    <n v="80"/>
    <n v="0"/>
    <n v="15"/>
    <n v="3"/>
    <n v="13"/>
    <n v="12"/>
    <n v="6"/>
    <n v="0"/>
  </r>
  <r>
    <s v="Yes"/>
    <s v="Travel_Rarely"/>
    <x v="2"/>
    <s v="Ex-Employees"/>
    <x v="0"/>
    <x v="0"/>
    <x v="1430"/>
    <x v="1430"/>
    <x v="1"/>
    <x v="0"/>
    <x v="1"/>
    <s v="No"/>
    <s v="Y"/>
    <n v="4"/>
    <n v="-2"/>
    <n v="0"/>
    <x v="7"/>
    <x v="0"/>
    <n v="1"/>
    <n v="1"/>
    <n v="0"/>
    <n v="740"/>
    <n v="1"/>
    <x v="3"/>
    <x v="0"/>
    <n v="2"/>
    <n v="64"/>
    <n v="2"/>
    <n v="2"/>
    <x v="3"/>
    <n v="9714"/>
    <n v="5323"/>
    <n v="1"/>
    <n v="11"/>
    <n v="3"/>
    <n v="4"/>
    <n v="80"/>
    <n v="1"/>
    <n v="10"/>
    <n v="3"/>
    <n v="10"/>
    <n v="8"/>
    <n v="6"/>
    <n v="7"/>
  </r>
  <r>
    <s v="Yes"/>
    <s v="Travel_Rarely"/>
    <x v="2"/>
    <s v="Ex-Employees"/>
    <x v="0"/>
    <x v="3"/>
    <x v="1431"/>
    <x v="1431"/>
    <x v="1"/>
    <x v="0"/>
    <x v="1"/>
    <s v="No"/>
    <s v="Y"/>
    <n v="2"/>
    <n v="-2"/>
    <n v="0"/>
    <x v="12"/>
    <x v="0"/>
    <n v="1"/>
    <n v="1"/>
    <n v="0"/>
    <n v="1079"/>
    <n v="16"/>
    <x v="2"/>
    <x v="0"/>
    <n v="1"/>
    <n v="70"/>
    <n v="3"/>
    <n v="3"/>
    <x v="3"/>
    <n v="8161"/>
    <n v="19002"/>
    <n v="2"/>
    <n v="13"/>
    <n v="3"/>
    <n v="1"/>
    <n v="80"/>
    <n v="3"/>
    <n v="10"/>
    <n v="3"/>
    <n v="1"/>
    <n v="0"/>
    <n v="0"/>
    <n v="0"/>
  </r>
  <r>
    <s v="Yes"/>
    <s v="Travel_Rarely"/>
    <x v="2"/>
    <s v="Ex-Employees"/>
    <x v="0"/>
    <x v="0"/>
    <x v="1432"/>
    <x v="1432"/>
    <x v="1"/>
    <x v="0"/>
    <x v="0"/>
    <s v="No"/>
    <s v="Y"/>
    <n v="2"/>
    <n v="-2"/>
    <n v="0"/>
    <x v="5"/>
    <x v="0"/>
    <n v="1"/>
    <n v="1"/>
    <n v="0"/>
    <n v="964"/>
    <n v="1"/>
    <x v="0"/>
    <x v="0"/>
    <n v="1"/>
    <n v="34"/>
    <n v="1"/>
    <n v="2"/>
    <x v="1"/>
    <n v="6735"/>
    <n v="12147"/>
    <n v="6"/>
    <n v="15"/>
    <n v="3"/>
    <n v="2"/>
    <n v="80"/>
    <n v="0"/>
    <n v="10"/>
    <n v="3"/>
    <n v="0"/>
    <n v="0"/>
    <n v="0"/>
    <n v="0"/>
  </r>
  <r>
    <s v="Yes"/>
    <s v="Travel_Rarely"/>
    <x v="4"/>
    <s v="Ex-Employees"/>
    <x v="0"/>
    <x v="3"/>
    <x v="1433"/>
    <x v="1433"/>
    <x v="1"/>
    <x v="6"/>
    <x v="0"/>
    <s v="No"/>
    <s v="Y"/>
    <n v="3"/>
    <n v="-2"/>
    <n v="0"/>
    <x v="18"/>
    <x v="0"/>
    <n v="1"/>
    <n v="1"/>
    <n v="0"/>
    <n v="337"/>
    <n v="7"/>
    <x v="1"/>
    <x v="0"/>
    <n v="2"/>
    <n v="31"/>
    <n v="3"/>
    <n v="1"/>
    <x v="3"/>
    <n v="2679"/>
    <n v="4567"/>
    <n v="1"/>
    <n v="13"/>
    <n v="3"/>
    <n v="2"/>
    <n v="80"/>
    <n v="0"/>
    <n v="1"/>
    <n v="3"/>
    <n v="1"/>
    <n v="0"/>
    <n v="1"/>
    <n v="0"/>
  </r>
  <r>
    <s v="Yes"/>
    <s v="Travel_Rarely"/>
    <x v="2"/>
    <s v="Ex-Employees"/>
    <x v="0"/>
    <x v="2"/>
    <x v="1434"/>
    <x v="1434"/>
    <x v="1"/>
    <x v="6"/>
    <x v="0"/>
    <s v="No"/>
    <s v="Y"/>
    <n v="3"/>
    <n v="-2"/>
    <n v="0"/>
    <x v="7"/>
    <x v="0"/>
    <n v="1"/>
    <n v="1"/>
    <n v="0"/>
    <n v="945"/>
    <n v="9"/>
    <x v="3"/>
    <x v="0"/>
    <n v="2"/>
    <n v="89"/>
    <n v="3"/>
    <n v="1"/>
    <x v="0"/>
    <n v="1081"/>
    <n v="16019"/>
    <n v="1"/>
    <n v="13"/>
    <n v="3"/>
    <n v="3"/>
    <n v="80"/>
    <n v="0"/>
    <n v="1"/>
    <n v="2"/>
    <n v="1"/>
    <n v="0"/>
    <n v="0"/>
    <n v="0"/>
  </r>
  <r>
    <s v="Yes"/>
    <s v="Travel_Frequently"/>
    <x v="2"/>
    <s v="Ex-Employees"/>
    <x v="1"/>
    <x v="0"/>
    <x v="1435"/>
    <x v="1435"/>
    <x v="0"/>
    <x v="1"/>
    <x v="0"/>
    <s v="Yes"/>
    <s v="Y"/>
    <n v="2"/>
    <n v="-2"/>
    <n v="0"/>
    <x v="5"/>
    <x v="0"/>
    <n v="1"/>
    <n v="1"/>
    <n v="0"/>
    <n v="238"/>
    <n v="5"/>
    <x v="0"/>
    <x v="0"/>
    <n v="1"/>
    <n v="47"/>
    <n v="4"/>
    <n v="1"/>
    <x v="2"/>
    <n v="2432"/>
    <n v="15318"/>
    <n v="3"/>
    <n v="14"/>
    <n v="3"/>
    <n v="1"/>
    <n v="80"/>
    <n v="0"/>
    <n v="8"/>
    <n v="3"/>
    <n v="4"/>
    <n v="1"/>
    <n v="0"/>
    <n v="3"/>
  </r>
  <r>
    <s v="Yes"/>
    <s v="Travel_Frequently"/>
    <x v="2"/>
    <s v="Ex-Employees"/>
    <x v="1"/>
    <x v="1"/>
    <x v="1436"/>
    <x v="1436"/>
    <x v="0"/>
    <x v="4"/>
    <x v="0"/>
    <s v="Yes"/>
    <s v="Y"/>
    <n v="1"/>
    <n v="-2"/>
    <n v="0"/>
    <x v="11"/>
    <x v="0"/>
    <n v="1"/>
    <n v="1"/>
    <n v="0"/>
    <n v="337"/>
    <n v="14"/>
    <x v="1"/>
    <x v="0"/>
    <n v="3"/>
    <n v="84"/>
    <n v="3"/>
    <n v="3"/>
    <x v="0"/>
    <n v="7553"/>
    <n v="22930"/>
    <n v="0"/>
    <n v="12"/>
    <n v="3"/>
    <n v="1"/>
    <n v="80"/>
    <n v="0"/>
    <n v="9"/>
    <n v="3"/>
    <n v="8"/>
    <n v="7"/>
    <n v="7"/>
    <n v="7"/>
  </r>
  <r>
    <s v="Yes"/>
    <s v="Travel_Frequently"/>
    <x v="1"/>
    <s v="Ex-Employees"/>
    <x v="0"/>
    <x v="2"/>
    <x v="1437"/>
    <x v="1437"/>
    <x v="0"/>
    <x v="6"/>
    <x v="1"/>
    <s v="Yes"/>
    <s v="Y"/>
    <n v="3"/>
    <n v="-2"/>
    <n v="0"/>
    <x v="26"/>
    <x v="0"/>
    <n v="1"/>
    <n v="1"/>
    <n v="0"/>
    <n v="708"/>
    <n v="7"/>
    <x v="0"/>
    <x v="0"/>
    <n v="4"/>
    <n v="95"/>
    <n v="3"/>
    <n v="1"/>
    <x v="2"/>
    <n v="2655"/>
    <n v="11740"/>
    <n v="2"/>
    <n v="11"/>
    <n v="3"/>
    <n v="3"/>
    <n v="80"/>
    <n v="2"/>
    <n v="19"/>
    <n v="3"/>
    <n v="9"/>
    <n v="7"/>
    <n v="7"/>
    <n v="7"/>
  </r>
  <r>
    <s v="Yes"/>
    <s v="Travel_Frequently"/>
    <x v="4"/>
    <s v="Ex-Employees"/>
    <x v="0"/>
    <x v="2"/>
    <x v="1438"/>
    <x v="1438"/>
    <x v="0"/>
    <x v="6"/>
    <x v="0"/>
    <s v="Yes"/>
    <s v="Y"/>
    <n v="2"/>
    <n v="-2"/>
    <n v="0"/>
    <x v="41"/>
    <x v="0"/>
    <n v="1"/>
    <n v="1"/>
    <n v="0"/>
    <n v="544"/>
    <n v="3"/>
    <x v="0"/>
    <x v="0"/>
    <n v="2"/>
    <n v="70"/>
    <n v="3"/>
    <n v="1"/>
    <x v="0"/>
    <n v="1569"/>
    <n v="18420"/>
    <n v="1"/>
    <n v="12"/>
    <n v="3"/>
    <n v="3"/>
    <n v="80"/>
    <n v="0"/>
    <n v="0"/>
    <n v="4"/>
    <n v="0"/>
    <n v="0"/>
    <n v="0"/>
    <n v="0"/>
  </r>
  <r>
    <s v="Yes"/>
    <s v="Travel_Rarely"/>
    <x v="2"/>
    <s v="Ex-Employees"/>
    <x v="2"/>
    <x v="2"/>
    <x v="1439"/>
    <x v="1439"/>
    <x v="0"/>
    <x v="8"/>
    <x v="1"/>
    <s v="Yes"/>
    <s v="Y"/>
    <n v="3"/>
    <n v="-2"/>
    <n v="0"/>
    <x v="25"/>
    <x v="0"/>
    <n v="1"/>
    <n v="1"/>
    <n v="0"/>
    <n v="920"/>
    <n v="20"/>
    <x v="0"/>
    <x v="0"/>
    <n v="4"/>
    <n v="69"/>
    <n v="3"/>
    <n v="1"/>
    <x v="1"/>
    <n v="2148"/>
    <n v="6889"/>
    <n v="0"/>
    <n v="11"/>
    <n v="3"/>
    <n v="3"/>
    <n v="80"/>
    <n v="0"/>
    <n v="6"/>
    <n v="3"/>
    <n v="5"/>
    <n v="1"/>
    <n v="1"/>
    <n v="4"/>
  </r>
  <r>
    <s v="Yes"/>
    <s v="Travel_Rarely"/>
    <x v="0"/>
    <s v="Ex-Employees"/>
    <x v="1"/>
    <x v="0"/>
    <x v="1440"/>
    <x v="1440"/>
    <x v="0"/>
    <x v="2"/>
    <x v="2"/>
    <s v="Yes"/>
    <s v="Y"/>
    <n v="2"/>
    <n v="-2"/>
    <n v="0"/>
    <x v="10"/>
    <x v="0"/>
    <n v="1"/>
    <n v="1"/>
    <n v="0"/>
    <n v="104"/>
    <n v="2"/>
    <x v="3"/>
    <x v="0"/>
    <n v="1"/>
    <n v="69"/>
    <n v="3"/>
    <n v="1"/>
    <x v="3"/>
    <n v="2074"/>
    <n v="26619"/>
    <n v="1"/>
    <n v="12"/>
    <n v="3"/>
    <n v="4"/>
    <n v="80"/>
    <n v="1"/>
    <n v="1"/>
    <n v="3"/>
    <n v="1"/>
    <n v="0"/>
    <n v="0"/>
    <n v="0"/>
  </r>
  <r>
    <s v="Yes"/>
    <s v="Travel_Rarely"/>
    <x v="4"/>
    <s v="Ex-Employees"/>
    <x v="1"/>
    <x v="2"/>
    <x v="1441"/>
    <x v="1441"/>
    <x v="0"/>
    <x v="2"/>
    <x v="1"/>
    <s v="Yes"/>
    <s v="Y"/>
    <n v="6"/>
    <n v="-2"/>
    <n v="0"/>
    <x v="15"/>
    <x v="0"/>
    <n v="1"/>
    <n v="1"/>
    <n v="0"/>
    <n v="1294"/>
    <n v="8"/>
    <x v="1"/>
    <x v="0"/>
    <n v="3"/>
    <n v="79"/>
    <n v="3"/>
    <n v="1"/>
    <x v="3"/>
    <n v="2398"/>
    <n v="15999"/>
    <n v="1"/>
    <n v="17"/>
    <n v="3"/>
    <n v="3"/>
    <n v="80"/>
    <n v="0"/>
    <n v="1"/>
    <n v="3"/>
    <n v="1"/>
    <n v="0"/>
    <n v="0"/>
    <n v="0"/>
  </r>
  <r>
    <s v="Yes"/>
    <s v="Travel_Rarely"/>
    <x v="2"/>
    <s v="Ex-Employees"/>
    <x v="0"/>
    <x v="3"/>
    <x v="1442"/>
    <x v="1442"/>
    <x v="0"/>
    <x v="0"/>
    <x v="0"/>
    <s v="Yes"/>
    <s v="Y"/>
    <n v="0"/>
    <n v="-2"/>
    <n v="0"/>
    <x v="14"/>
    <x v="0"/>
    <n v="1"/>
    <n v="1"/>
    <n v="0"/>
    <n v="1475"/>
    <n v="13"/>
    <x v="0"/>
    <x v="0"/>
    <n v="4"/>
    <n v="84"/>
    <n v="3"/>
    <n v="2"/>
    <x v="3"/>
    <n v="9854"/>
    <n v="23352"/>
    <n v="3"/>
    <n v="11"/>
    <n v="3"/>
    <n v="4"/>
    <n v="80"/>
    <n v="0"/>
    <n v="6"/>
    <n v="3"/>
    <n v="2"/>
    <n v="0"/>
    <n v="2"/>
    <n v="2"/>
  </r>
  <r>
    <s v="Yes"/>
    <s v="Travel_Frequently"/>
    <x v="0"/>
    <s v="Ex-Employees"/>
    <x v="1"/>
    <x v="2"/>
    <x v="1443"/>
    <x v="1443"/>
    <x v="1"/>
    <x v="1"/>
    <x v="2"/>
    <s v="Yes"/>
    <s v="Y"/>
    <n v="2"/>
    <n v="-2"/>
    <n v="0"/>
    <x v="20"/>
    <x v="0"/>
    <n v="1"/>
    <n v="1"/>
    <n v="0"/>
    <n v="429"/>
    <n v="1"/>
    <x v="0"/>
    <x v="0"/>
    <n v="3"/>
    <n v="99"/>
    <n v="3"/>
    <n v="1"/>
    <x v="1"/>
    <n v="2342"/>
    <n v="11092"/>
    <n v="1"/>
    <n v="12"/>
    <n v="3"/>
    <n v="3"/>
    <n v="80"/>
    <n v="3"/>
    <n v="6"/>
    <n v="2"/>
    <n v="5"/>
    <n v="3"/>
    <n v="2"/>
    <n v="3"/>
  </r>
  <r>
    <s v="Yes"/>
    <s v="Travel_Frequently"/>
    <x v="2"/>
    <s v="Ex-Employees"/>
    <x v="1"/>
    <x v="0"/>
    <x v="1444"/>
    <x v="1444"/>
    <x v="1"/>
    <x v="2"/>
    <x v="1"/>
    <s v="Yes"/>
    <s v="Y"/>
    <n v="2"/>
    <n v="-2"/>
    <n v="0"/>
    <x v="12"/>
    <x v="0"/>
    <n v="1"/>
    <n v="1"/>
    <n v="0"/>
    <n v="523"/>
    <n v="2"/>
    <x v="3"/>
    <x v="0"/>
    <n v="2"/>
    <n v="94"/>
    <n v="3"/>
    <n v="1"/>
    <x v="0"/>
    <n v="3722"/>
    <n v="21081"/>
    <n v="6"/>
    <n v="13"/>
    <n v="3"/>
    <n v="3"/>
    <n v="80"/>
    <n v="1"/>
    <n v="7"/>
    <n v="1"/>
    <n v="2"/>
    <n v="2"/>
    <n v="2"/>
    <n v="2"/>
  </r>
  <r>
    <s v="Yes"/>
    <s v="Travel_Frequently"/>
    <x v="0"/>
    <s v="Ex-Employees"/>
    <x v="1"/>
    <x v="4"/>
    <x v="1445"/>
    <x v="1445"/>
    <x v="1"/>
    <x v="1"/>
    <x v="1"/>
    <s v="Yes"/>
    <s v="Y"/>
    <n v="4"/>
    <n v="-2"/>
    <n v="0"/>
    <x v="23"/>
    <x v="0"/>
    <n v="1"/>
    <n v="1"/>
    <n v="0"/>
    <n v="807"/>
    <n v="17"/>
    <x v="3"/>
    <x v="0"/>
    <n v="3"/>
    <n v="38"/>
    <n v="2"/>
    <n v="1"/>
    <x v="2"/>
    <n v="2437"/>
    <n v="15587"/>
    <n v="9"/>
    <n v="16"/>
    <n v="3"/>
    <n v="4"/>
    <n v="80"/>
    <n v="1"/>
    <n v="6"/>
    <n v="3"/>
    <n v="1"/>
    <n v="0"/>
    <n v="0"/>
    <n v="0"/>
  </r>
  <r>
    <s v="Yes"/>
    <s v="Travel_Frequently"/>
    <x v="4"/>
    <s v="Ex-Employees"/>
    <x v="1"/>
    <x v="2"/>
    <x v="1446"/>
    <x v="1446"/>
    <x v="1"/>
    <x v="2"/>
    <x v="0"/>
    <s v="Yes"/>
    <s v="Y"/>
    <n v="2"/>
    <n v="-2"/>
    <n v="0"/>
    <x v="17"/>
    <x v="0"/>
    <n v="1"/>
    <n v="1"/>
    <n v="0"/>
    <n v="381"/>
    <n v="9"/>
    <x v="3"/>
    <x v="0"/>
    <n v="2"/>
    <n v="89"/>
    <n v="3"/>
    <n v="1"/>
    <x v="3"/>
    <n v="3172"/>
    <n v="16998"/>
    <n v="2"/>
    <n v="11"/>
    <n v="3"/>
    <n v="3"/>
    <n v="80"/>
    <n v="0"/>
    <n v="4"/>
    <n v="2"/>
    <n v="0"/>
    <n v="0"/>
    <n v="0"/>
    <n v="0"/>
  </r>
  <r>
    <s v="Yes"/>
    <s v="Travel_Frequently"/>
    <x v="2"/>
    <s v="Ex-Employees"/>
    <x v="0"/>
    <x v="3"/>
    <x v="1447"/>
    <x v="1447"/>
    <x v="1"/>
    <x v="0"/>
    <x v="1"/>
    <s v="Yes"/>
    <s v="Y"/>
    <n v="4"/>
    <n v="-2"/>
    <n v="0"/>
    <x v="12"/>
    <x v="0"/>
    <n v="1"/>
    <n v="1"/>
    <n v="0"/>
    <n v="754"/>
    <n v="26"/>
    <x v="2"/>
    <x v="0"/>
    <n v="1"/>
    <n v="63"/>
    <n v="3"/>
    <n v="2"/>
    <x v="3"/>
    <n v="5617"/>
    <n v="21075"/>
    <n v="1"/>
    <n v="11"/>
    <n v="3"/>
    <n v="3"/>
    <n v="80"/>
    <n v="0"/>
    <n v="10"/>
    <n v="3"/>
    <n v="10"/>
    <n v="7"/>
    <n v="0"/>
    <n v="8"/>
  </r>
  <r>
    <s v="Yes"/>
    <s v="Travel_Rarely"/>
    <x v="2"/>
    <s v="Ex-Employees"/>
    <x v="2"/>
    <x v="5"/>
    <x v="1448"/>
    <x v="1448"/>
    <x v="1"/>
    <x v="8"/>
    <x v="2"/>
    <s v="Yes"/>
    <s v="Y"/>
    <n v="3"/>
    <n v="-2"/>
    <n v="0"/>
    <x v="11"/>
    <x v="0"/>
    <n v="1"/>
    <n v="1"/>
    <n v="0"/>
    <n v="350"/>
    <n v="13"/>
    <x v="3"/>
    <x v="0"/>
    <n v="1"/>
    <n v="56"/>
    <n v="2"/>
    <n v="1"/>
    <x v="3"/>
    <n v="2335"/>
    <n v="3157"/>
    <n v="4"/>
    <n v="15"/>
    <n v="3"/>
    <n v="4"/>
    <n v="80"/>
    <n v="3"/>
    <n v="4"/>
    <n v="3"/>
    <n v="2"/>
    <n v="2"/>
    <n v="2"/>
    <n v="0"/>
  </r>
  <r>
    <s v="Yes"/>
    <s v="Travel_Rarely"/>
    <x v="2"/>
    <s v="Ex-Employees"/>
    <x v="1"/>
    <x v="2"/>
    <x v="1449"/>
    <x v="1449"/>
    <x v="1"/>
    <x v="1"/>
    <x v="1"/>
    <s v="Yes"/>
    <s v="Y"/>
    <n v="3"/>
    <n v="-2"/>
    <n v="0"/>
    <x v="11"/>
    <x v="0"/>
    <n v="1"/>
    <n v="1"/>
    <n v="0"/>
    <n v="1092"/>
    <n v="1"/>
    <x v="2"/>
    <x v="0"/>
    <n v="1"/>
    <n v="36"/>
    <n v="3"/>
    <n v="1"/>
    <x v="0"/>
    <n v="4787"/>
    <n v="26124"/>
    <n v="9"/>
    <n v="14"/>
    <n v="3"/>
    <n v="2"/>
    <n v="80"/>
    <n v="3"/>
    <n v="4"/>
    <n v="4"/>
    <n v="2"/>
    <n v="2"/>
    <n v="2"/>
    <n v="2"/>
  </r>
  <r>
    <s v="Yes"/>
    <s v="Travel_Rarely"/>
    <x v="2"/>
    <s v="Ex-Employees"/>
    <x v="1"/>
    <x v="2"/>
    <x v="1450"/>
    <x v="1450"/>
    <x v="1"/>
    <x v="2"/>
    <x v="1"/>
    <s v="Yes"/>
    <s v="Y"/>
    <n v="3"/>
    <n v="-2"/>
    <n v="0"/>
    <x v="14"/>
    <x v="0"/>
    <n v="1"/>
    <n v="1"/>
    <n v="0"/>
    <n v="329"/>
    <n v="24"/>
    <x v="3"/>
    <x v="0"/>
    <n v="3"/>
    <n v="51"/>
    <n v="3"/>
    <n v="1"/>
    <x v="1"/>
    <n v="2408"/>
    <n v="7324"/>
    <n v="1"/>
    <n v="17"/>
    <n v="3"/>
    <n v="3"/>
    <n v="80"/>
    <n v="3"/>
    <n v="1"/>
    <n v="3"/>
    <n v="1"/>
    <n v="1"/>
    <n v="0"/>
    <n v="0"/>
  </r>
  <r>
    <s v="Yes"/>
    <s v="Travel_Rarely"/>
    <x v="0"/>
    <s v="Ex-Employees"/>
    <x v="1"/>
    <x v="0"/>
    <x v="1451"/>
    <x v="1451"/>
    <x v="1"/>
    <x v="2"/>
    <x v="0"/>
    <s v="Yes"/>
    <s v="Y"/>
    <n v="3"/>
    <n v="-2"/>
    <n v="0"/>
    <x v="32"/>
    <x v="0"/>
    <n v="1"/>
    <n v="1"/>
    <n v="0"/>
    <n v="1329"/>
    <n v="7"/>
    <x v="3"/>
    <x v="0"/>
    <n v="1"/>
    <n v="73"/>
    <n v="3"/>
    <n v="1"/>
    <x v="3"/>
    <n v="2166"/>
    <n v="3339"/>
    <n v="3"/>
    <n v="14"/>
    <n v="3"/>
    <n v="2"/>
    <n v="80"/>
    <n v="0"/>
    <n v="10"/>
    <n v="1"/>
    <n v="4"/>
    <n v="2"/>
    <n v="0"/>
    <n v="3"/>
  </r>
  <r>
    <s v="Yes"/>
    <s v="Travel_Rarely"/>
    <x v="4"/>
    <s v="Ex-Employees"/>
    <x v="1"/>
    <x v="2"/>
    <x v="1452"/>
    <x v="1452"/>
    <x v="1"/>
    <x v="2"/>
    <x v="0"/>
    <s v="Yes"/>
    <s v="Y"/>
    <n v="2"/>
    <n v="-2"/>
    <n v="0"/>
    <x v="30"/>
    <x v="0"/>
    <n v="1"/>
    <n v="1"/>
    <n v="0"/>
    <n v="1320"/>
    <n v="8"/>
    <x v="1"/>
    <x v="0"/>
    <n v="4"/>
    <n v="93"/>
    <n v="2"/>
    <n v="1"/>
    <x v="2"/>
    <n v="3989"/>
    <n v="20586"/>
    <n v="1"/>
    <n v="11"/>
    <n v="3"/>
    <n v="1"/>
    <n v="80"/>
    <n v="0"/>
    <n v="5"/>
    <n v="3"/>
    <n v="5"/>
    <n v="4"/>
    <n v="1"/>
    <n v="2"/>
  </r>
  <r>
    <s v="Yes"/>
    <s v="Travel_Rarely"/>
    <x v="1"/>
    <s v="Ex-Employees"/>
    <x v="0"/>
    <x v="3"/>
    <x v="1453"/>
    <x v="1453"/>
    <x v="1"/>
    <x v="0"/>
    <x v="2"/>
    <s v="Yes"/>
    <s v="Y"/>
    <n v="3"/>
    <n v="-2"/>
    <n v="0"/>
    <x v="24"/>
    <x v="0"/>
    <n v="1"/>
    <n v="1"/>
    <n v="0"/>
    <n v="410"/>
    <n v="28"/>
    <x v="3"/>
    <x v="0"/>
    <n v="4"/>
    <n v="39"/>
    <n v="2"/>
    <n v="3"/>
    <x v="3"/>
    <n v="10854"/>
    <n v="16586"/>
    <n v="4"/>
    <n v="13"/>
    <n v="3"/>
    <n v="2"/>
    <n v="80"/>
    <n v="1"/>
    <n v="20"/>
    <n v="3"/>
    <n v="3"/>
    <n v="2"/>
    <n v="2"/>
    <n v="0"/>
  </r>
  <r>
    <s v="Yes"/>
    <s v="Travel_Rarely"/>
    <x v="0"/>
    <s v="Ex-Employees"/>
    <x v="0"/>
    <x v="2"/>
    <x v="1454"/>
    <x v="1454"/>
    <x v="1"/>
    <x v="0"/>
    <x v="2"/>
    <s v="Yes"/>
    <s v="Y"/>
    <n v="2"/>
    <n v="-2"/>
    <n v="0"/>
    <x v="10"/>
    <x v="0"/>
    <n v="1"/>
    <n v="1"/>
    <n v="0"/>
    <n v="763"/>
    <n v="15"/>
    <x v="0"/>
    <x v="0"/>
    <n v="1"/>
    <n v="59"/>
    <n v="1"/>
    <n v="2"/>
    <x v="0"/>
    <n v="5440"/>
    <n v="22098"/>
    <n v="6"/>
    <n v="14"/>
    <n v="3"/>
    <n v="4"/>
    <n v="80"/>
    <n v="2"/>
    <n v="7"/>
    <n v="2"/>
    <n v="2"/>
    <n v="2"/>
    <n v="2"/>
    <n v="2"/>
  </r>
  <r>
    <s v="Yes"/>
    <s v="Travel_Rarely"/>
    <x v="0"/>
    <s v="Ex-Employees"/>
    <x v="0"/>
    <x v="3"/>
    <x v="1455"/>
    <x v="1455"/>
    <x v="1"/>
    <x v="0"/>
    <x v="2"/>
    <s v="Yes"/>
    <s v="Y"/>
    <n v="3"/>
    <n v="-2"/>
    <n v="0"/>
    <x v="9"/>
    <x v="0"/>
    <n v="1"/>
    <n v="1"/>
    <n v="0"/>
    <n v="1456"/>
    <n v="13"/>
    <x v="4"/>
    <x v="0"/>
    <n v="2"/>
    <n v="96"/>
    <n v="2"/>
    <n v="2"/>
    <x v="3"/>
    <n v="6134"/>
    <n v="8658"/>
    <n v="5"/>
    <n v="13"/>
    <n v="3"/>
    <n v="2"/>
    <n v="80"/>
    <n v="3"/>
    <n v="16"/>
    <n v="3"/>
    <n v="2"/>
    <n v="2"/>
    <n v="2"/>
    <n v="2"/>
  </r>
  <r>
    <s v="Yes"/>
    <s v="Travel_Rarely"/>
    <x v="1"/>
    <s v="Ex-Employees"/>
    <x v="0"/>
    <x v="0"/>
    <x v="1456"/>
    <x v="1456"/>
    <x v="1"/>
    <x v="0"/>
    <x v="0"/>
    <s v="Yes"/>
    <s v="Y"/>
    <n v="2"/>
    <n v="-2"/>
    <n v="0"/>
    <x v="16"/>
    <x v="0"/>
    <n v="1"/>
    <n v="1"/>
    <n v="0"/>
    <n v="1168"/>
    <n v="24"/>
    <x v="2"/>
    <x v="0"/>
    <n v="1"/>
    <n v="66"/>
    <n v="3"/>
    <n v="3"/>
    <x v="3"/>
    <n v="10448"/>
    <n v="5843"/>
    <n v="6"/>
    <n v="13"/>
    <n v="3"/>
    <n v="2"/>
    <n v="80"/>
    <n v="0"/>
    <n v="15"/>
    <n v="2"/>
    <n v="2"/>
    <n v="2"/>
    <n v="2"/>
    <n v="2"/>
  </r>
  <r>
    <s v="Yes"/>
    <s v="Travel_Rarely"/>
    <x v="2"/>
    <s v="Ex-Employees"/>
    <x v="0"/>
    <x v="3"/>
    <x v="1457"/>
    <x v="1457"/>
    <x v="1"/>
    <x v="0"/>
    <x v="0"/>
    <s v="Yes"/>
    <s v="Y"/>
    <n v="3"/>
    <n v="-2"/>
    <n v="0"/>
    <x v="5"/>
    <x v="0"/>
    <n v="1"/>
    <n v="1"/>
    <n v="0"/>
    <n v="414"/>
    <n v="2"/>
    <x v="2"/>
    <x v="0"/>
    <n v="3"/>
    <n v="82"/>
    <n v="2"/>
    <n v="2"/>
    <x v="1"/>
    <n v="9907"/>
    <n v="26186"/>
    <n v="7"/>
    <n v="12"/>
    <n v="3"/>
    <n v="3"/>
    <n v="80"/>
    <n v="0"/>
    <n v="7"/>
    <n v="2"/>
    <n v="2"/>
    <n v="2"/>
    <n v="2"/>
    <n v="2"/>
  </r>
  <r>
    <s v="Yes"/>
    <s v="Travel_Rarely"/>
    <x v="0"/>
    <s v="Ex-Employees"/>
    <x v="0"/>
    <x v="0"/>
    <x v="1458"/>
    <x v="1458"/>
    <x v="1"/>
    <x v="0"/>
    <x v="0"/>
    <s v="Yes"/>
    <s v="Y"/>
    <n v="2"/>
    <n v="-2"/>
    <n v="0"/>
    <x v="10"/>
    <x v="0"/>
    <n v="1"/>
    <n v="1"/>
    <n v="0"/>
    <n v="303"/>
    <n v="27"/>
    <x v="3"/>
    <x v="0"/>
    <n v="3"/>
    <n v="84"/>
    <n v="3"/>
    <n v="2"/>
    <x v="0"/>
    <n v="5813"/>
    <n v="13492"/>
    <n v="1"/>
    <n v="18"/>
    <n v="3"/>
    <n v="4"/>
    <n v="80"/>
    <n v="0"/>
    <n v="10"/>
    <n v="3"/>
    <n v="10"/>
    <n v="7"/>
    <n v="7"/>
    <n v="7"/>
  </r>
  <r>
    <s v="Yes"/>
    <s v="Travel_Rarely"/>
    <x v="1"/>
    <s v="Ex-Employees"/>
    <x v="1"/>
    <x v="2"/>
    <x v="1459"/>
    <x v="1459"/>
    <x v="0"/>
    <x v="4"/>
    <x v="1"/>
    <s v="No"/>
    <s v="Y"/>
    <n v="2"/>
    <n v="-2"/>
    <n v="0"/>
    <x v="21"/>
    <x v="0"/>
    <n v="1"/>
    <n v="1"/>
    <n v="0"/>
    <n v="261"/>
    <n v="21"/>
    <x v="0"/>
    <x v="0"/>
    <n v="4"/>
    <n v="66"/>
    <n v="3"/>
    <n v="2"/>
    <x v="1"/>
    <n v="8926"/>
    <n v="10842"/>
    <n v="4"/>
    <n v="22"/>
    <n v="4"/>
    <n v="4"/>
    <n v="80"/>
    <n v="1"/>
    <n v="13"/>
    <n v="4"/>
    <n v="9"/>
    <n v="7"/>
    <n v="3"/>
    <n v="7"/>
  </r>
  <r>
    <s v="Yes"/>
    <s v="Travel_Rarely"/>
    <x v="1"/>
    <s v="Ex-Employees"/>
    <x v="0"/>
    <x v="0"/>
    <x v="1460"/>
    <x v="1460"/>
    <x v="0"/>
    <x v="0"/>
    <x v="1"/>
    <s v="No"/>
    <s v="Y"/>
    <n v="2"/>
    <n v="-2"/>
    <n v="0"/>
    <x v="21"/>
    <x v="0"/>
    <n v="1"/>
    <n v="1"/>
    <n v="0"/>
    <n v="1254"/>
    <n v="10"/>
    <x v="3"/>
    <x v="0"/>
    <n v="3"/>
    <n v="64"/>
    <n v="3"/>
    <n v="3"/>
    <x v="1"/>
    <n v="7314"/>
    <n v="14011"/>
    <n v="5"/>
    <n v="21"/>
    <n v="4"/>
    <n v="3"/>
    <n v="80"/>
    <n v="3"/>
    <n v="14"/>
    <n v="3"/>
    <n v="8"/>
    <n v="7"/>
    <n v="0"/>
    <n v="7"/>
  </r>
  <r>
    <s v="Yes"/>
    <s v="Travel_Frequently"/>
    <x v="1"/>
    <s v="Ex-Employees"/>
    <x v="1"/>
    <x v="0"/>
    <x v="1461"/>
    <x v="1461"/>
    <x v="1"/>
    <x v="2"/>
    <x v="0"/>
    <s v="No"/>
    <s v="Y"/>
    <n v="2"/>
    <n v="-2"/>
    <n v="0"/>
    <x v="1"/>
    <x v="0"/>
    <n v="1"/>
    <n v="1"/>
    <n v="0"/>
    <n v="1475"/>
    <n v="28"/>
    <x v="0"/>
    <x v="0"/>
    <n v="1"/>
    <n v="97"/>
    <n v="2"/>
    <n v="2"/>
    <x v="3"/>
    <n v="4284"/>
    <n v="22710"/>
    <n v="3"/>
    <n v="20"/>
    <n v="4"/>
    <n v="1"/>
    <n v="80"/>
    <n v="0"/>
    <n v="20"/>
    <n v="3"/>
    <n v="4"/>
    <n v="3"/>
    <n v="1"/>
    <n v="3"/>
  </r>
  <r>
    <s v="Yes"/>
    <s v="Non-Travel"/>
    <x v="0"/>
    <s v="Ex-Employees"/>
    <x v="1"/>
    <x v="0"/>
    <x v="1462"/>
    <x v="1462"/>
    <x v="0"/>
    <x v="2"/>
    <x v="0"/>
    <s v="Yes"/>
    <s v="Y"/>
    <n v="2"/>
    <n v="-2"/>
    <n v="0"/>
    <x v="22"/>
    <x v="0"/>
    <n v="1"/>
    <n v="1"/>
    <n v="0"/>
    <n v="592"/>
    <n v="2"/>
    <x v="3"/>
    <x v="0"/>
    <n v="1"/>
    <n v="54"/>
    <n v="2"/>
    <n v="1"/>
    <x v="3"/>
    <n v="3646"/>
    <n v="17181"/>
    <n v="2"/>
    <n v="23"/>
    <n v="4"/>
    <n v="2"/>
    <n v="80"/>
    <n v="0"/>
    <n v="11"/>
    <n v="4"/>
    <n v="1"/>
    <n v="0"/>
    <n v="0"/>
    <n v="0"/>
  </r>
  <r>
    <s v="Yes"/>
    <s v="Travel_Rarely"/>
    <x v="2"/>
    <s v="Ex-Employees"/>
    <x v="0"/>
    <x v="2"/>
    <x v="1463"/>
    <x v="1463"/>
    <x v="0"/>
    <x v="0"/>
    <x v="0"/>
    <s v="Yes"/>
    <s v="Y"/>
    <n v="2"/>
    <n v="-2"/>
    <n v="0"/>
    <x v="13"/>
    <x v="0"/>
    <n v="1"/>
    <n v="1"/>
    <n v="0"/>
    <n v="790"/>
    <n v="24"/>
    <x v="2"/>
    <x v="0"/>
    <n v="1"/>
    <n v="40"/>
    <n v="2"/>
    <n v="2"/>
    <x v="1"/>
    <n v="4599"/>
    <n v="7815"/>
    <n v="0"/>
    <n v="23"/>
    <n v="4"/>
    <n v="3"/>
    <n v="80"/>
    <n v="0"/>
    <n v="16"/>
    <n v="4"/>
    <n v="15"/>
    <n v="9"/>
    <n v="10"/>
    <n v="10"/>
  </r>
  <r>
    <s v="Yes"/>
    <s v="Travel_Rarely"/>
    <x v="2"/>
    <s v="Ex-Employees"/>
    <x v="0"/>
    <x v="0"/>
    <x v="1464"/>
    <x v="1464"/>
    <x v="0"/>
    <x v="0"/>
    <x v="0"/>
    <s v="Yes"/>
    <s v="Y"/>
    <n v="2"/>
    <n v="-2"/>
    <n v="0"/>
    <x v="3"/>
    <x v="0"/>
    <n v="1"/>
    <n v="1"/>
    <n v="0"/>
    <n v="211"/>
    <n v="16"/>
    <x v="3"/>
    <x v="0"/>
    <n v="1"/>
    <n v="74"/>
    <n v="3"/>
    <n v="3"/>
    <x v="3"/>
    <n v="8564"/>
    <n v="10092"/>
    <n v="2"/>
    <n v="20"/>
    <n v="4"/>
    <n v="3"/>
    <n v="80"/>
    <n v="0"/>
    <n v="11"/>
    <n v="2"/>
    <n v="0"/>
    <n v="0"/>
    <n v="0"/>
    <n v="0"/>
  </r>
  <r>
    <s v="Yes"/>
    <s v="Non-Travel"/>
    <x v="2"/>
    <s v="Ex-Employees"/>
    <x v="1"/>
    <x v="4"/>
    <x v="1465"/>
    <x v="1465"/>
    <x v="1"/>
    <x v="1"/>
    <x v="1"/>
    <s v="Yes"/>
    <s v="Y"/>
    <n v="2"/>
    <n v="-2"/>
    <n v="0"/>
    <x v="13"/>
    <x v="0"/>
    <n v="1"/>
    <n v="1"/>
    <n v="0"/>
    <n v="967"/>
    <n v="16"/>
    <x v="2"/>
    <x v="0"/>
    <n v="4"/>
    <n v="85"/>
    <n v="1"/>
    <n v="1"/>
    <x v="3"/>
    <n v="2307"/>
    <n v="14460"/>
    <n v="1"/>
    <n v="23"/>
    <n v="4"/>
    <n v="2"/>
    <n v="80"/>
    <n v="1"/>
    <n v="5"/>
    <n v="3"/>
    <n v="5"/>
    <n v="2"/>
    <n v="3"/>
    <n v="0"/>
  </r>
  <r>
    <s v="Yes"/>
    <s v="Travel_Frequently"/>
    <x v="2"/>
    <s v="Ex-Employees"/>
    <x v="1"/>
    <x v="0"/>
    <x v="1466"/>
    <x v="1466"/>
    <x v="1"/>
    <x v="1"/>
    <x v="0"/>
    <s v="Yes"/>
    <s v="Y"/>
    <n v="3"/>
    <n v="-2"/>
    <n v="0"/>
    <x v="11"/>
    <x v="0"/>
    <n v="1"/>
    <n v="1"/>
    <n v="0"/>
    <n v="459"/>
    <n v="24"/>
    <x v="0"/>
    <x v="0"/>
    <n v="4"/>
    <n v="73"/>
    <n v="2"/>
    <n v="1"/>
    <x v="0"/>
    <n v="2439"/>
    <n v="14753"/>
    <n v="1"/>
    <n v="24"/>
    <n v="4"/>
    <n v="2"/>
    <n v="80"/>
    <n v="0"/>
    <n v="1"/>
    <n v="2"/>
    <n v="1"/>
    <n v="0"/>
    <n v="1"/>
    <n v="0"/>
  </r>
  <r>
    <s v="Yes"/>
    <s v="Travel_Frequently"/>
    <x v="0"/>
    <s v="Ex-Employees"/>
    <x v="0"/>
    <x v="1"/>
    <x v="1467"/>
    <x v="1467"/>
    <x v="1"/>
    <x v="0"/>
    <x v="0"/>
    <s v="Yes"/>
    <s v="Y"/>
    <n v="2"/>
    <n v="-2"/>
    <n v="0"/>
    <x v="10"/>
    <x v="0"/>
    <n v="1"/>
    <n v="1"/>
    <n v="0"/>
    <n v="880"/>
    <n v="12"/>
    <x v="2"/>
    <x v="0"/>
    <n v="4"/>
    <n v="36"/>
    <n v="3"/>
    <n v="2"/>
    <x v="0"/>
    <n v="4581"/>
    <n v="10414"/>
    <n v="3"/>
    <n v="24"/>
    <n v="4"/>
    <n v="1"/>
    <n v="80"/>
    <n v="0"/>
    <n v="13"/>
    <n v="4"/>
    <n v="11"/>
    <n v="9"/>
    <n v="6"/>
    <n v="7"/>
  </r>
  <r>
    <s v="Yes"/>
    <s v="Travel_Rarely"/>
    <x v="4"/>
    <s v="Ex-Employees"/>
    <x v="1"/>
    <x v="0"/>
    <x v="1468"/>
    <x v="1468"/>
    <x v="1"/>
    <x v="1"/>
    <x v="0"/>
    <s v="Yes"/>
    <s v="Y"/>
    <n v="2"/>
    <n v="-2"/>
    <n v="0"/>
    <x v="15"/>
    <x v="0"/>
    <n v="1"/>
    <n v="1"/>
    <n v="0"/>
    <n v="391"/>
    <n v="7"/>
    <x v="1"/>
    <x v="0"/>
    <n v="4"/>
    <n v="75"/>
    <n v="3"/>
    <n v="1"/>
    <x v="1"/>
    <n v="2472"/>
    <n v="26092"/>
    <n v="1"/>
    <n v="23"/>
    <n v="4"/>
    <n v="1"/>
    <n v="80"/>
    <n v="0"/>
    <n v="1"/>
    <n v="3"/>
    <n v="1"/>
    <n v="0"/>
    <n v="0"/>
    <n v="0"/>
  </r>
  <r>
    <s v="Yes"/>
    <s v="Travel_Rarely"/>
    <x v="4"/>
    <s v="Ex-Employees"/>
    <x v="0"/>
    <x v="0"/>
    <x v="1469"/>
    <x v="1469"/>
    <x v="1"/>
    <x v="6"/>
    <x v="2"/>
    <s v="Yes"/>
    <s v="Y"/>
    <n v="2"/>
    <n v="-2"/>
    <n v="0"/>
    <x v="30"/>
    <x v="0"/>
    <n v="1"/>
    <n v="1"/>
    <n v="0"/>
    <n v="427"/>
    <n v="7"/>
    <x v="3"/>
    <x v="0"/>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D69E98-03DF-43B9-AB0E-B3836D75496F}"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3">
    <i>
      <x/>
    </i>
    <i>
      <x v="1"/>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38F72-B34F-486E-B7C7-61F508C37DFD}"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I601" firstHeaderRow="1" firstDataRow="1" firstDataCol="1"/>
  <pivotFields count="44">
    <pivotField showAll="0"/>
    <pivotField showAll="0"/>
    <pivotField showAll="0"/>
    <pivotField showAll="0"/>
    <pivotField showAll="0"/>
    <pivotField showAll="0"/>
    <pivotField axis="axisRow"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89">
    <i>
      <x/>
    </i>
    <i>
      <x v="1"/>
    </i>
    <i>
      <x v="3"/>
    </i>
    <i>
      <x v="5"/>
    </i>
    <i>
      <x v="6"/>
    </i>
    <i>
      <x v="10"/>
    </i>
    <i>
      <x v="13"/>
    </i>
    <i>
      <x v="15"/>
    </i>
    <i>
      <x v="16"/>
    </i>
    <i>
      <x v="17"/>
    </i>
    <i>
      <x v="18"/>
    </i>
    <i>
      <x v="19"/>
    </i>
    <i>
      <x v="25"/>
    </i>
    <i>
      <x v="26"/>
    </i>
    <i>
      <x v="27"/>
    </i>
    <i>
      <x v="32"/>
    </i>
    <i>
      <x v="33"/>
    </i>
    <i>
      <x v="35"/>
    </i>
    <i>
      <x v="38"/>
    </i>
    <i>
      <x v="39"/>
    </i>
    <i>
      <x v="41"/>
    </i>
    <i>
      <x v="42"/>
    </i>
    <i>
      <x v="43"/>
    </i>
    <i>
      <x v="44"/>
    </i>
    <i>
      <x v="45"/>
    </i>
    <i>
      <x v="46"/>
    </i>
    <i>
      <x v="51"/>
    </i>
    <i>
      <x v="54"/>
    </i>
    <i>
      <x v="59"/>
    </i>
    <i>
      <x v="61"/>
    </i>
    <i>
      <x v="63"/>
    </i>
    <i>
      <x v="64"/>
    </i>
    <i>
      <x v="65"/>
    </i>
    <i>
      <x v="66"/>
    </i>
    <i>
      <x v="69"/>
    </i>
    <i>
      <x v="70"/>
    </i>
    <i>
      <x v="71"/>
    </i>
    <i>
      <x v="76"/>
    </i>
    <i>
      <x v="77"/>
    </i>
    <i>
      <x v="81"/>
    </i>
    <i>
      <x v="87"/>
    </i>
    <i>
      <x v="90"/>
    </i>
    <i>
      <x v="97"/>
    </i>
    <i>
      <x v="100"/>
    </i>
    <i>
      <x v="104"/>
    </i>
    <i>
      <x v="105"/>
    </i>
    <i>
      <x v="108"/>
    </i>
    <i>
      <x v="112"/>
    </i>
    <i>
      <x v="120"/>
    </i>
    <i>
      <x v="126"/>
    </i>
    <i>
      <x v="130"/>
    </i>
    <i>
      <x v="132"/>
    </i>
    <i>
      <x v="134"/>
    </i>
    <i>
      <x v="135"/>
    </i>
    <i>
      <x v="141"/>
    </i>
    <i>
      <x v="145"/>
    </i>
    <i>
      <x v="149"/>
    </i>
    <i>
      <x v="151"/>
    </i>
    <i>
      <x v="152"/>
    </i>
    <i>
      <x v="153"/>
    </i>
    <i>
      <x v="155"/>
    </i>
    <i>
      <x v="156"/>
    </i>
    <i>
      <x v="161"/>
    </i>
    <i>
      <x v="162"/>
    </i>
    <i>
      <x v="164"/>
    </i>
    <i>
      <x v="167"/>
    </i>
    <i>
      <x v="171"/>
    </i>
    <i>
      <x v="175"/>
    </i>
    <i>
      <x v="176"/>
    </i>
    <i>
      <x v="184"/>
    </i>
    <i>
      <x v="185"/>
    </i>
    <i>
      <x v="186"/>
    </i>
    <i>
      <x v="188"/>
    </i>
    <i>
      <x v="192"/>
    </i>
    <i>
      <x v="193"/>
    </i>
    <i>
      <x v="195"/>
    </i>
    <i>
      <x v="196"/>
    </i>
    <i>
      <x v="197"/>
    </i>
    <i>
      <x v="198"/>
    </i>
    <i>
      <x v="202"/>
    </i>
    <i>
      <x v="203"/>
    </i>
    <i>
      <x v="209"/>
    </i>
    <i>
      <x v="212"/>
    </i>
    <i>
      <x v="213"/>
    </i>
    <i>
      <x v="216"/>
    </i>
    <i>
      <x v="220"/>
    </i>
    <i>
      <x v="222"/>
    </i>
    <i>
      <x v="223"/>
    </i>
    <i>
      <x v="224"/>
    </i>
    <i>
      <x v="225"/>
    </i>
    <i>
      <x v="228"/>
    </i>
    <i>
      <x v="234"/>
    </i>
    <i>
      <x v="235"/>
    </i>
    <i>
      <x v="236"/>
    </i>
    <i>
      <x v="237"/>
    </i>
    <i>
      <x v="239"/>
    </i>
    <i>
      <x v="240"/>
    </i>
    <i>
      <x v="241"/>
    </i>
    <i>
      <x v="244"/>
    </i>
    <i>
      <x v="246"/>
    </i>
    <i>
      <x v="247"/>
    </i>
    <i>
      <x v="252"/>
    </i>
    <i>
      <x v="253"/>
    </i>
    <i>
      <x v="254"/>
    </i>
    <i>
      <x v="255"/>
    </i>
    <i>
      <x v="256"/>
    </i>
    <i>
      <x v="260"/>
    </i>
    <i>
      <x v="262"/>
    </i>
    <i>
      <x v="265"/>
    </i>
    <i>
      <x v="268"/>
    </i>
    <i>
      <x v="274"/>
    </i>
    <i>
      <x v="277"/>
    </i>
    <i>
      <x v="278"/>
    </i>
    <i>
      <x v="280"/>
    </i>
    <i>
      <x v="282"/>
    </i>
    <i>
      <x v="284"/>
    </i>
    <i>
      <x v="285"/>
    </i>
    <i>
      <x v="286"/>
    </i>
    <i>
      <x v="287"/>
    </i>
    <i>
      <x v="288"/>
    </i>
    <i>
      <x v="292"/>
    </i>
    <i>
      <x v="293"/>
    </i>
    <i>
      <x v="295"/>
    </i>
    <i>
      <x v="296"/>
    </i>
    <i>
      <x v="297"/>
    </i>
    <i>
      <x v="299"/>
    </i>
    <i>
      <x v="305"/>
    </i>
    <i>
      <x v="312"/>
    </i>
    <i>
      <x v="313"/>
    </i>
    <i>
      <x v="314"/>
    </i>
    <i>
      <x v="315"/>
    </i>
    <i>
      <x v="316"/>
    </i>
    <i>
      <x v="318"/>
    </i>
    <i>
      <x v="319"/>
    </i>
    <i>
      <x v="320"/>
    </i>
    <i>
      <x v="321"/>
    </i>
    <i>
      <x v="328"/>
    </i>
    <i>
      <x v="329"/>
    </i>
    <i>
      <x v="330"/>
    </i>
    <i>
      <x v="332"/>
    </i>
    <i>
      <x v="333"/>
    </i>
    <i>
      <x v="334"/>
    </i>
    <i>
      <x v="336"/>
    </i>
    <i>
      <x v="338"/>
    </i>
    <i>
      <x v="341"/>
    </i>
    <i>
      <x v="344"/>
    </i>
    <i>
      <x v="346"/>
    </i>
    <i>
      <x v="347"/>
    </i>
    <i>
      <x v="348"/>
    </i>
    <i>
      <x v="350"/>
    </i>
    <i>
      <x v="353"/>
    </i>
    <i>
      <x v="356"/>
    </i>
    <i>
      <x v="357"/>
    </i>
    <i>
      <x v="359"/>
    </i>
    <i>
      <x v="363"/>
    </i>
    <i>
      <x v="375"/>
    </i>
    <i>
      <x v="376"/>
    </i>
    <i>
      <x v="377"/>
    </i>
    <i>
      <x v="383"/>
    </i>
    <i>
      <x v="384"/>
    </i>
    <i>
      <x v="387"/>
    </i>
    <i>
      <x v="391"/>
    </i>
    <i>
      <x v="394"/>
    </i>
    <i>
      <x v="395"/>
    </i>
    <i>
      <x v="399"/>
    </i>
    <i>
      <x v="400"/>
    </i>
    <i>
      <x v="401"/>
    </i>
    <i>
      <x v="406"/>
    </i>
    <i>
      <x v="409"/>
    </i>
    <i>
      <x v="410"/>
    </i>
    <i>
      <x v="411"/>
    </i>
    <i>
      <x v="412"/>
    </i>
    <i>
      <x v="416"/>
    </i>
    <i>
      <x v="418"/>
    </i>
    <i>
      <x v="422"/>
    </i>
    <i>
      <x v="428"/>
    </i>
    <i>
      <x v="433"/>
    </i>
    <i>
      <x v="434"/>
    </i>
    <i>
      <x v="436"/>
    </i>
    <i>
      <x v="443"/>
    </i>
    <i>
      <x v="444"/>
    </i>
    <i>
      <x v="447"/>
    </i>
    <i>
      <x v="452"/>
    </i>
    <i>
      <x v="454"/>
    </i>
    <i>
      <x v="455"/>
    </i>
    <i>
      <x v="457"/>
    </i>
    <i>
      <x v="467"/>
    </i>
    <i>
      <x v="474"/>
    </i>
    <i>
      <x v="476"/>
    </i>
    <i>
      <x v="477"/>
    </i>
    <i>
      <x v="479"/>
    </i>
    <i>
      <x v="480"/>
    </i>
    <i>
      <x v="483"/>
    </i>
    <i>
      <x v="485"/>
    </i>
    <i>
      <x v="490"/>
    </i>
    <i>
      <x v="492"/>
    </i>
    <i>
      <x v="493"/>
    </i>
    <i>
      <x v="495"/>
    </i>
    <i>
      <x v="497"/>
    </i>
    <i>
      <x v="499"/>
    </i>
    <i>
      <x v="500"/>
    </i>
    <i>
      <x v="501"/>
    </i>
    <i>
      <x v="503"/>
    </i>
    <i>
      <x v="504"/>
    </i>
    <i>
      <x v="505"/>
    </i>
    <i>
      <x v="509"/>
    </i>
    <i>
      <x v="510"/>
    </i>
    <i>
      <x v="513"/>
    </i>
    <i>
      <x v="515"/>
    </i>
    <i>
      <x v="518"/>
    </i>
    <i>
      <x v="519"/>
    </i>
    <i>
      <x v="520"/>
    </i>
    <i>
      <x v="521"/>
    </i>
    <i>
      <x v="523"/>
    </i>
    <i>
      <x v="524"/>
    </i>
    <i>
      <x v="526"/>
    </i>
    <i>
      <x v="534"/>
    </i>
    <i>
      <x v="535"/>
    </i>
    <i>
      <x v="536"/>
    </i>
    <i>
      <x v="537"/>
    </i>
    <i>
      <x v="541"/>
    </i>
    <i>
      <x v="543"/>
    </i>
    <i>
      <x v="545"/>
    </i>
    <i>
      <x v="548"/>
    </i>
    <i>
      <x v="555"/>
    </i>
    <i>
      <x v="557"/>
    </i>
    <i>
      <x v="559"/>
    </i>
    <i>
      <x v="564"/>
    </i>
    <i>
      <x v="565"/>
    </i>
    <i>
      <x v="566"/>
    </i>
    <i>
      <x v="571"/>
    </i>
    <i>
      <x v="575"/>
    </i>
    <i>
      <x v="584"/>
    </i>
    <i>
      <x v="585"/>
    </i>
    <i>
      <x v="588"/>
    </i>
    <i>
      <x v="590"/>
    </i>
    <i>
      <x v="591"/>
    </i>
    <i>
      <x v="593"/>
    </i>
    <i>
      <x v="595"/>
    </i>
    <i>
      <x v="596"/>
    </i>
    <i>
      <x v="597"/>
    </i>
    <i>
      <x v="601"/>
    </i>
    <i>
      <x v="602"/>
    </i>
    <i>
      <x v="603"/>
    </i>
    <i>
      <x v="605"/>
    </i>
    <i>
      <x v="607"/>
    </i>
    <i>
      <x v="613"/>
    </i>
    <i>
      <x v="618"/>
    </i>
    <i>
      <x v="620"/>
    </i>
    <i>
      <x v="623"/>
    </i>
    <i>
      <x v="624"/>
    </i>
    <i>
      <x v="625"/>
    </i>
    <i>
      <x v="626"/>
    </i>
    <i>
      <x v="639"/>
    </i>
    <i>
      <x v="648"/>
    </i>
    <i>
      <x v="649"/>
    </i>
    <i>
      <x v="650"/>
    </i>
    <i>
      <x v="651"/>
    </i>
    <i>
      <x v="652"/>
    </i>
    <i>
      <x v="653"/>
    </i>
    <i>
      <x v="657"/>
    </i>
    <i>
      <x v="658"/>
    </i>
    <i>
      <x v="660"/>
    </i>
    <i>
      <x v="661"/>
    </i>
    <i>
      <x v="662"/>
    </i>
    <i>
      <x v="663"/>
    </i>
    <i>
      <x v="666"/>
    </i>
    <i>
      <x v="670"/>
    </i>
    <i>
      <x v="671"/>
    </i>
    <i>
      <x v="673"/>
    </i>
    <i>
      <x v="677"/>
    </i>
    <i>
      <x v="683"/>
    </i>
    <i>
      <x v="684"/>
    </i>
    <i>
      <x v="686"/>
    </i>
    <i>
      <x v="689"/>
    </i>
    <i>
      <x v="690"/>
    </i>
    <i>
      <x v="693"/>
    </i>
    <i>
      <x v="696"/>
    </i>
    <i>
      <x v="701"/>
    </i>
    <i>
      <x v="702"/>
    </i>
    <i>
      <x v="705"/>
    </i>
    <i>
      <x v="706"/>
    </i>
    <i>
      <x v="708"/>
    </i>
    <i>
      <x v="709"/>
    </i>
    <i>
      <x v="714"/>
    </i>
    <i>
      <x v="716"/>
    </i>
    <i>
      <x v="717"/>
    </i>
    <i>
      <x v="718"/>
    </i>
    <i>
      <x v="725"/>
    </i>
    <i>
      <x v="726"/>
    </i>
    <i>
      <x v="729"/>
    </i>
    <i>
      <x v="731"/>
    </i>
    <i>
      <x v="733"/>
    </i>
    <i>
      <x v="734"/>
    </i>
    <i>
      <x v="735"/>
    </i>
    <i>
      <x v="736"/>
    </i>
    <i>
      <x v="740"/>
    </i>
    <i>
      <x v="750"/>
    </i>
    <i>
      <x v="754"/>
    </i>
    <i>
      <x v="759"/>
    </i>
    <i>
      <x v="760"/>
    </i>
    <i>
      <x v="765"/>
    </i>
    <i>
      <x v="768"/>
    </i>
    <i>
      <x v="770"/>
    </i>
    <i>
      <x v="773"/>
    </i>
    <i>
      <x v="774"/>
    </i>
    <i>
      <x v="775"/>
    </i>
    <i>
      <x v="787"/>
    </i>
    <i>
      <x v="789"/>
    </i>
    <i>
      <x v="793"/>
    </i>
    <i>
      <x v="794"/>
    </i>
    <i>
      <x v="795"/>
    </i>
    <i>
      <x v="799"/>
    </i>
    <i>
      <x v="800"/>
    </i>
    <i>
      <x v="801"/>
    </i>
    <i>
      <x v="802"/>
    </i>
    <i>
      <x v="804"/>
    </i>
    <i>
      <x v="809"/>
    </i>
    <i>
      <x v="810"/>
    </i>
    <i>
      <x v="815"/>
    </i>
    <i>
      <x v="816"/>
    </i>
    <i>
      <x v="821"/>
    </i>
    <i>
      <x v="822"/>
    </i>
    <i>
      <x v="824"/>
    </i>
    <i>
      <x v="825"/>
    </i>
    <i>
      <x v="829"/>
    </i>
    <i>
      <x v="830"/>
    </i>
    <i>
      <x v="832"/>
    </i>
    <i>
      <x v="834"/>
    </i>
    <i>
      <x v="837"/>
    </i>
    <i>
      <x v="843"/>
    </i>
    <i>
      <x v="847"/>
    </i>
    <i>
      <x v="849"/>
    </i>
    <i>
      <x v="856"/>
    </i>
    <i>
      <x v="858"/>
    </i>
    <i>
      <x v="859"/>
    </i>
    <i>
      <x v="860"/>
    </i>
    <i>
      <x v="863"/>
    </i>
    <i>
      <x v="867"/>
    </i>
    <i>
      <x v="868"/>
    </i>
    <i>
      <x v="871"/>
    </i>
    <i>
      <x v="872"/>
    </i>
    <i>
      <x v="873"/>
    </i>
    <i>
      <x v="874"/>
    </i>
    <i>
      <x v="875"/>
    </i>
    <i>
      <x v="877"/>
    </i>
    <i>
      <x v="878"/>
    </i>
    <i>
      <x v="879"/>
    </i>
    <i>
      <x v="882"/>
    </i>
    <i>
      <x v="884"/>
    </i>
    <i>
      <x v="885"/>
    </i>
    <i>
      <x v="890"/>
    </i>
    <i>
      <x v="892"/>
    </i>
    <i>
      <x v="898"/>
    </i>
    <i>
      <x v="901"/>
    </i>
    <i>
      <x v="903"/>
    </i>
    <i>
      <x v="908"/>
    </i>
    <i>
      <x v="910"/>
    </i>
    <i>
      <x v="911"/>
    </i>
    <i>
      <x v="912"/>
    </i>
    <i>
      <x v="915"/>
    </i>
    <i>
      <x v="916"/>
    </i>
    <i>
      <x v="918"/>
    </i>
    <i>
      <x v="925"/>
    </i>
    <i>
      <x v="926"/>
    </i>
    <i>
      <x v="928"/>
    </i>
    <i>
      <x v="930"/>
    </i>
    <i>
      <x v="932"/>
    </i>
    <i>
      <x v="934"/>
    </i>
    <i>
      <x v="935"/>
    </i>
    <i>
      <x v="937"/>
    </i>
    <i>
      <x v="938"/>
    </i>
    <i>
      <x v="940"/>
    </i>
    <i>
      <x v="946"/>
    </i>
    <i>
      <x v="948"/>
    </i>
    <i>
      <x v="951"/>
    </i>
    <i>
      <x v="953"/>
    </i>
    <i>
      <x v="956"/>
    </i>
    <i>
      <x v="957"/>
    </i>
    <i>
      <x v="962"/>
    </i>
    <i>
      <x v="965"/>
    </i>
    <i>
      <x v="977"/>
    </i>
    <i>
      <x v="978"/>
    </i>
    <i>
      <x v="979"/>
    </i>
    <i>
      <x v="980"/>
    </i>
    <i>
      <x v="981"/>
    </i>
    <i>
      <x v="989"/>
    </i>
    <i>
      <x v="993"/>
    </i>
    <i>
      <x v="994"/>
    </i>
    <i>
      <x v="996"/>
    </i>
    <i>
      <x v="1001"/>
    </i>
    <i>
      <x v="1008"/>
    </i>
    <i>
      <x v="1012"/>
    </i>
    <i>
      <x v="1015"/>
    </i>
    <i>
      <x v="1021"/>
    </i>
    <i>
      <x v="1023"/>
    </i>
    <i>
      <x v="1024"/>
    </i>
    <i>
      <x v="1026"/>
    </i>
    <i>
      <x v="1027"/>
    </i>
    <i>
      <x v="1030"/>
    </i>
    <i>
      <x v="1032"/>
    </i>
    <i>
      <x v="1033"/>
    </i>
    <i>
      <x v="1035"/>
    </i>
    <i>
      <x v="1038"/>
    </i>
    <i>
      <x v="1041"/>
    </i>
    <i>
      <x v="1042"/>
    </i>
    <i>
      <x v="1047"/>
    </i>
    <i>
      <x v="1048"/>
    </i>
    <i>
      <x v="1049"/>
    </i>
    <i>
      <x v="1052"/>
    </i>
    <i>
      <x v="1053"/>
    </i>
    <i>
      <x v="1058"/>
    </i>
    <i>
      <x v="1062"/>
    </i>
    <i>
      <x v="1063"/>
    </i>
    <i>
      <x v="1065"/>
    </i>
    <i>
      <x v="1068"/>
    </i>
    <i>
      <x v="1069"/>
    </i>
    <i>
      <x v="1072"/>
    </i>
    <i>
      <x v="1074"/>
    </i>
    <i>
      <x v="1075"/>
    </i>
    <i>
      <x v="1076"/>
    </i>
    <i>
      <x v="1078"/>
    </i>
    <i>
      <x v="1082"/>
    </i>
    <i>
      <x v="1088"/>
    </i>
    <i>
      <x v="1089"/>
    </i>
    <i>
      <x v="1090"/>
    </i>
    <i>
      <x v="1092"/>
    </i>
    <i>
      <x v="1093"/>
    </i>
    <i>
      <x v="1095"/>
    </i>
    <i>
      <x v="1097"/>
    </i>
    <i>
      <x v="1100"/>
    </i>
    <i>
      <x v="1101"/>
    </i>
    <i>
      <x v="1102"/>
    </i>
    <i>
      <x v="1104"/>
    </i>
    <i>
      <x v="1106"/>
    </i>
    <i>
      <x v="1108"/>
    </i>
    <i>
      <x v="1109"/>
    </i>
    <i>
      <x v="1111"/>
    </i>
    <i>
      <x v="1112"/>
    </i>
    <i>
      <x v="1113"/>
    </i>
    <i>
      <x v="1117"/>
    </i>
    <i>
      <x v="1118"/>
    </i>
    <i>
      <x v="1122"/>
    </i>
    <i>
      <x v="1125"/>
    </i>
    <i>
      <x v="1126"/>
    </i>
    <i>
      <x v="1127"/>
    </i>
    <i>
      <x v="1128"/>
    </i>
    <i>
      <x v="1130"/>
    </i>
    <i>
      <x v="1131"/>
    </i>
    <i>
      <x v="1132"/>
    </i>
    <i>
      <x v="1133"/>
    </i>
    <i>
      <x v="1135"/>
    </i>
    <i>
      <x v="1137"/>
    </i>
    <i>
      <x v="1140"/>
    </i>
    <i>
      <x v="1142"/>
    </i>
    <i>
      <x v="1145"/>
    </i>
    <i>
      <x v="1146"/>
    </i>
    <i>
      <x v="1147"/>
    </i>
    <i>
      <x v="1148"/>
    </i>
    <i>
      <x v="1151"/>
    </i>
    <i>
      <x v="1153"/>
    </i>
    <i>
      <x v="1154"/>
    </i>
    <i>
      <x v="1161"/>
    </i>
    <i>
      <x v="1165"/>
    </i>
    <i>
      <x v="1166"/>
    </i>
    <i>
      <x v="1170"/>
    </i>
    <i>
      <x v="1171"/>
    </i>
    <i>
      <x v="1175"/>
    </i>
    <i>
      <x v="1178"/>
    </i>
    <i>
      <x v="1182"/>
    </i>
    <i>
      <x v="1185"/>
    </i>
    <i>
      <x v="1188"/>
    </i>
    <i>
      <x v="1189"/>
    </i>
    <i>
      <x v="1190"/>
    </i>
    <i>
      <x v="1196"/>
    </i>
    <i>
      <x v="1197"/>
    </i>
    <i>
      <x v="1205"/>
    </i>
    <i>
      <x v="1212"/>
    </i>
    <i>
      <x v="1214"/>
    </i>
    <i>
      <x v="1215"/>
    </i>
    <i>
      <x v="1217"/>
    </i>
    <i>
      <x v="1219"/>
    </i>
    <i>
      <x v="1220"/>
    </i>
    <i>
      <x v="1221"/>
    </i>
    <i>
      <x v="1227"/>
    </i>
    <i>
      <x v="1228"/>
    </i>
    <i>
      <x v="1229"/>
    </i>
    <i>
      <x v="1230"/>
    </i>
    <i>
      <x v="1232"/>
    </i>
    <i>
      <x v="1233"/>
    </i>
    <i>
      <x v="1235"/>
    </i>
    <i>
      <x v="1248"/>
    </i>
    <i>
      <x v="1251"/>
    </i>
    <i>
      <x v="1254"/>
    </i>
    <i>
      <x v="1255"/>
    </i>
    <i>
      <x v="1256"/>
    </i>
    <i>
      <x v="1257"/>
    </i>
    <i>
      <x v="1260"/>
    </i>
    <i>
      <x v="1261"/>
    </i>
    <i>
      <x v="1262"/>
    </i>
    <i>
      <x v="1265"/>
    </i>
    <i>
      <x v="1273"/>
    </i>
    <i>
      <x v="1274"/>
    </i>
    <i>
      <x v="1275"/>
    </i>
    <i>
      <x v="1277"/>
    </i>
    <i>
      <x v="1280"/>
    </i>
    <i>
      <x v="1283"/>
    </i>
    <i>
      <x v="1286"/>
    </i>
    <i>
      <x v="1288"/>
    </i>
    <i>
      <x v="1289"/>
    </i>
    <i>
      <x v="1293"/>
    </i>
    <i>
      <x v="1296"/>
    </i>
    <i>
      <x v="1300"/>
    </i>
    <i>
      <x v="1303"/>
    </i>
    <i>
      <x v="1307"/>
    </i>
    <i>
      <x v="1309"/>
    </i>
    <i>
      <x v="1310"/>
    </i>
    <i>
      <x v="1312"/>
    </i>
    <i>
      <x v="1313"/>
    </i>
    <i>
      <x v="1315"/>
    </i>
    <i>
      <x v="1317"/>
    </i>
    <i>
      <x v="1318"/>
    </i>
    <i>
      <x v="1319"/>
    </i>
    <i>
      <x v="1320"/>
    </i>
    <i>
      <x v="1322"/>
    </i>
    <i>
      <x v="1323"/>
    </i>
    <i>
      <x v="1325"/>
    </i>
    <i>
      <x v="1328"/>
    </i>
    <i>
      <x v="1330"/>
    </i>
    <i>
      <x v="1332"/>
    </i>
    <i>
      <x v="1333"/>
    </i>
    <i>
      <x v="1334"/>
    </i>
    <i>
      <x v="1337"/>
    </i>
    <i>
      <x v="1338"/>
    </i>
    <i>
      <x v="1341"/>
    </i>
    <i>
      <x v="1342"/>
    </i>
    <i>
      <x v="1344"/>
    </i>
    <i>
      <x v="1345"/>
    </i>
    <i>
      <x v="1348"/>
    </i>
    <i>
      <x v="1349"/>
    </i>
    <i>
      <x v="1350"/>
    </i>
    <i>
      <x v="1355"/>
    </i>
    <i>
      <x v="1357"/>
    </i>
    <i>
      <x v="1360"/>
    </i>
    <i>
      <x v="1364"/>
    </i>
    <i>
      <x v="1369"/>
    </i>
    <i>
      <x v="1371"/>
    </i>
    <i>
      <x v="1372"/>
    </i>
    <i>
      <x v="1381"/>
    </i>
    <i>
      <x v="1382"/>
    </i>
    <i>
      <x v="1385"/>
    </i>
    <i>
      <x v="1389"/>
    </i>
    <i>
      <x v="1391"/>
    </i>
    <i>
      <x v="1395"/>
    </i>
    <i>
      <x v="1396"/>
    </i>
    <i>
      <x v="1397"/>
    </i>
    <i>
      <x v="1398"/>
    </i>
    <i>
      <x v="1401"/>
    </i>
    <i>
      <x v="1402"/>
    </i>
    <i>
      <x v="1405"/>
    </i>
    <i>
      <x v="1409"/>
    </i>
    <i>
      <x v="1410"/>
    </i>
    <i>
      <x v="1411"/>
    </i>
    <i>
      <x v="1413"/>
    </i>
    <i>
      <x v="1414"/>
    </i>
    <i>
      <x v="1415"/>
    </i>
    <i>
      <x v="1416"/>
    </i>
    <i>
      <x v="1418"/>
    </i>
    <i>
      <x v="1420"/>
    </i>
    <i>
      <x v="1423"/>
    </i>
    <i>
      <x v="1425"/>
    </i>
    <i>
      <x v="1426"/>
    </i>
    <i>
      <x v="1428"/>
    </i>
    <i>
      <x v="1431"/>
    </i>
    <i>
      <x v="1432"/>
    </i>
    <i>
      <x v="1441"/>
    </i>
    <i>
      <x v="1443"/>
    </i>
    <i>
      <x v="1445"/>
    </i>
    <i>
      <x v="1446"/>
    </i>
    <i>
      <x v="1449"/>
    </i>
    <i>
      <x v="1450"/>
    </i>
    <i>
      <x v="1453"/>
    </i>
    <i>
      <x v="1456"/>
    </i>
    <i>
      <x v="1459"/>
    </i>
    <i>
      <x v="1464"/>
    </i>
    <i>
      <x v="1465"/>
    </i>
    <i>
      <x v="1466"/>
    </i>
    <i>
      <x v="1468"/>
    </i>
    <i t="grand">
      <x/>
    </i>
  </rowItems>
  <colItems count="1">
    <i/>
  </colItems>
  <dataFields count="1">
    <dataField name="COUNT OF EMPLOYEE NUMBER"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F50B43-265A-4DEE-B7E2-B8181FD7B826}"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5">
    <i>
      <x/>
    </i>
    <i>
      <x v="1"/>
    </i>
    <i>
      <x v="2"/>
    </i>
    <i>
      <x v="3"/>
    </i>
    <i t="grand">
      <x/>
    </i>
  </rowItems>
  <colItems count="1">
    <i/>
  </colItems>
  <dataFields count="1">
    <dataField name="Average of Job Satisfaction" fld="2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512AAC-CFA3-4F2B-BE0F-D35EA860BE15}"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U2:V5"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NUMBER OF EMPLOYEE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EF7A51-1F28-40E3-B755-6E3C8D21CE7E}"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DUCATION">
  <location ref="M1:N7"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012EC7-A2D4-4F29-B762-AD18D14D9C89}"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N1:O11"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18FABA-0649-48C9-8BBA-A1BF7D67C6BE}"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K2:L6"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05D970-88C4-4F4E-96BC-F38805CFA958}"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F_AGE BAND">
  <location ref="F2:G8"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B93A01-4FDB-4FC5-8673-6F06B2E02EEE}" name="PivotTable2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B0C5FF-BA40-4192-A832-0E151F149330}" sourceName="Gender">
  <pivotTables>
    <pivotTable tabId="7" name="PivotTable13"/>
  </pivotTables>
  <data>
    <tabular pivotCacheId="1538952553">
      <items count="2">
        <i x="0" s="1"/>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1B06F81D-05C9-43A6-9221-5ADDF12C4318}" sourceName="Education Field">
  <pivotTables>
    <pivotTable tabId="9" name="PivotTable15"/>
  </pivotTables>
  <data>
    <tabular pivotCacheId="1538952553">
      <items count="6">
        <i x="5" s="1"/>
        <i x="0" s="1"/>
        <i x="3" s="1"/>
        <i x="2"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96C74A4-46D4-4750-BDBA-C9118A2C8F61}" sourceName="Gender">
  <pivotTables>
    <pivotTable tabId="9" name="PivotTable15"/>
  </pivotTables>
  <data>
    <tabular pivotCacheId="1538952553">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9E7764E9-D1E3-4FCD-A7FC-1F66239F10EB}" sourceName="Education Field">
  <pivotTables>
    <pivotTable tabId="10" name="PivotTable16"/>
  </pivotTables>
  <data>
    <tabular pivotCacheId="1538952553">
      <items count="6">
        <i x="5" s="1"/>
        <i x="0" s="1"/>
        <i x="3" s="1"/>
        <i x="2" s="1"/>
        <i x="1"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1D129C78-B421-4F6C-87D1-61299221F205}" sourceName="Gender">
  <pivotTables>
    <pivotTable tabId="10" name="PivotTable16"/>
  </pivotTables>
  <data>
    <tabular pivotCacheId="1538952553">
      <items count="2">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8CBD3D7-2EA0-444C-830F-0079B5B179EF}" sourceName="Department">
  <pivotTables>
    <pivotTable tabId="16" name="PivotTable26"/>
  </pivotTables>
  <data>
    <tabular pivotCacheId="1538952553">
      <items count="3">
        <i x="2"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3A10012D-7991-4290-83E4-773CB40995DE}" sourceName="Education Field">
  <pivotTables>
    <pivotTable tabId="16" name="PivotTable26"/>
  </pivotTables>
  <data>
    <tabular pivotCacheId="1538952553">
      <items count="6">
        <i x="5" s="1"/>
        <i x="0" s="1"/>
        <i x="3" s="1"/>
        <i x="2" s="1"/>
        <i x="1"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9C477AFF-81D6-480E-A130-5DD0054387A3}" sourceName="Marital Status">
  <pivotTables>
    <pivotTable tabId="16" name="PivotTable26"/>
  </pivotTables>
  <data>
    <tabular pivotCacheId="15389525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 name="Gender 4" xr10:uid="{8728BF57-BA02-456C-B08E-35FF600FAAB0}"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 name="Education Field 4" xr10:uid="{903699DE-B2E9-4982-98EC-7AE98B6DE68A}" cache="Slicer_Education_Field" caption="Education Field" rowHeight="260350"/>
  <slicer name="Gender 5" xr10:uid="{4F766F7B-F925-4DCD-A94E-42825BBE7F19}" cache="Slicer_Gender1"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 name="Education Field 5" xr10:uid="{B26EA5BD-4C37-4C63-A906-BE766CDEFDB0}" cache="Slicer_Education_Field1" caption="Education Field" rowHeight="260350"/>
  <slicer name="Gender 6" xr10:uid="{9975A087-D1A2-46AE-B628-F57C8F32D44F}" cache="Slicer_Gender3"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 name="Department 2" xr10:uid="{ED8E9229-C745-4218-85C9-BE432A11E262}" cache="Slicer_Department1" caption="Department" rowHeight="260350"/>
  <slicer name="Education Field 6" xr10:uid="{2E065D5E-7897-49AF-B67F-0E57E5066CD6}" cache="Slicer_Education_Field3" caption="Education Field" rowHeight="260350"/>
  <slicer name="Marital Status 1" xr10:uid="{B76B72AA-6715-436E-B576-23CF029E7D5E}" cache="Slicer_Marital_Status1" caption="Marital Status"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8" xr10:uid="{03307FAE-4736-4A2C-8CAA-2FD00D83C790}" cache="Slicer_Gender2" caption="Gender" columnCount="2" rowHeight="251883"/>
  <slicer name="Department 3" xr10:uid="{0B117CAF-3A44-40C5-8F09-4143D823FF48}" cache="Slicer_Department" caption="Department" rowHeight="251883"/>
  <slicer name="Education Field 7" xr10:uid="{93CD0D30-105C-4392-8B01-6C152CC38E6D}"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F971C9-8816-4F96-B656-77EEE8FB6F1B}" name="Table3" displayName="Table3" ref="B13:D14" totalsRowShown="0">
  <autoFilter ref="B13:D14" xr:uid="{2EF971C9-8816-4F96-B656-77EEE8FB6F1B}"/>
  <tableColumns count="3">
    <tableColumn id="1" xr3:uid="{42413E86-1BE2-4EE6-B61E-0B42689CDFF2}" name="COUNT OF EMPLOYEES NUMBER">
      <calculatedColumnFormula>COUNT(Table1[Employee Number])</calculatedColumnFormula>
    </tableColumn>
    <tableColumn id="2" xr3:uid="{701847E1-55B7-4722-997A-A71F327FC601}" name="SUM OF CF_ATTRITION COUNT">
      <calculatedColumnFormula>SUM(Table1[CF_attrition count])</calculatedColumnFormula>
    </tableColumn>
    <tableColumn id="3" xr3:uid="{9CD1F584-F6DC-4AD6-B30D-EC63DAFEC029}" name="AVERAGE AGE">
      <calculatedColumnFormula>AVERAGE(Table1[Age])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206A1B-B3DA-478E-A0F1-D7659947A879}" name="Table4" displayName="Table4" ref="B16:E17" totalsRowShown="0">
  <autoFilter ref="B16:E17" xr:uid="{06206A1B-B3DA-478E-A0F1-D7659947A879}"/>
  <tableColumns count="4">
    <tableColumn id="1" xr3:uid="{234963C2-DE97-456E-B9B5-55F730B344FA}" name="TOTAL EMPLOYEES">
      <calculatedColumnFormula>GETPIVOTDATA("COUNT OF EMPLOYEE NUMBER",I12)</calculatedColumnFormula>
    </tableColumn>
    <tableColumn id="2" xr3:uid="{D1C81A49-0D81-4729-ABDE-27523C456C5A}" name="ATTRITION COUNT">
      <calculatedColumnFormula>GETPIVOTDATA("SUM OF CF_ATTRITION COUNT",L3)</calculatedColumnFormula>
    </tableColumn>
    <tableColumn id="3" xr3:uid="{7E6F9311-4B28-411E-B12F-698867AE1345}" name="ACTIVE EMPLOYEE">
      <calculatedColumnFormula>GETPIVOTDATA("COUNT OF EMPLOYEE NUMBER",I12)-GETPIVOTDATA("SUM OF CF_ATTRITION COUNT",L3)</calculatedColumnFormula>
    </tableColumn>
    <tableColumn id="4" xr3:uid="{13F13ECC-D7FA-43A0-B173-039E4BB41B5A}" name="ATTRTION RATE" dataDxfId="1" dataCellStyle="Percent">
      <calculatedColumnFormula>GETPIVOTDATA("SUM OF CF_ATTRITION COUNT",L3)/GETPIVOTDATA("COUNT OF EMPLOYEE NUMBER",I12)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081857-879B-4F8A-97CA-ED983270B483}" name="Table5" displayName="Table5" ref="R5:S14" totalsRowShown="0">
  <autoFilter ref="R5:S14" xr:uid="{FA081857-879B-4F8A-97CA-ED983270B483}"/>
  <tableColumns count="2">
    <tableColumn id="1" xr3:uid="{551C34D7-8E54-4E5D-9572-D96692697C38}" name="JOB ROLE">
      <calculatedColumnFormula>N2</calculatedColumnFormula>
    </tableColumn>
    <tableColumn id="2" xr3:uid="{7F992C7C-7D68-45A3-A688-A7A5F97E8ED2}"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sqref="A1:AR1471"/>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L601"/>
  <sheetViews>
    <sheetView workbookViewId="0">
      <selection activeCell="B7" sqref="B7"/>
    </sheetView>
  </sheetViews>
  <sheetFormatPr defaultColWidth="11.19921875" defaultRowHeight="15.6" x14ac:dyDescent="0.3"/>
  <cols>
    <col min="1" max="1" width="24.5" bestFit="1" customWidth="1"/>
    <col min="2" max="2" width="22.796875" bestFit="1" customWidth="1"/>
    <col min="3" max="3" width="13.5" bestFit="1" customWidth="1"/>
    <col min="4" max="4" width="18.09765625" customWidth="1"/>
    <col min="5" max="5" width="15.8984375" customWidth="1"/>
    <col min="8" max="8" width="12.296875" bestFit="1" customWidth="1"/>
    <col min="9" max="9" width="27.69921875" bestFit="1" customWidth="1"/>
    <col min="11" max="11" width="12.296875" bestFit="1" customWidth="1"/>
    <col min="12" max="12" width="22.796875" bestFit="1" customWidth="1"/>
  </cols>
  <sheetData>
    <row r="3" spans="1:12" x14ac:dyDescent="0.3">
      <c r="A3" t="s">
        <v>1554</v>
      </c>
      <c r="B3" t="s">
        <v>1555</v>
      </c>
      <c r="C3" t="s">
        <v>1556</v>
      </c>
      <c r="K3" s="6" t="s">
        <v>1565</v>
      </c>
      <c r="L3" t="s">
        <v>1555</v>
      </c>
    </row>
    <row r="4" spans="1:12" x14ac:dyDescent="0.3">
      <c r="A4">
        <v>1470</v>
      </c>
      <c r="B4">
        <v>237</v>
      </c>
      <c r="C4">
        <v>36.923809523809524</v>
      </c>
      <c r="K4" s="7">
        <v>0</v>
      </c>
      <c r="L4">
        <v>0</v>
      </c>
    </row>
    <row r="5" spans="1:12" x14ac:dyDescent="0.3">
      <c r="K5" s="7">
        <v>1</v>
      </c>
      <c r="L5">
        <v>237</v>
      </c>
    </row>
    <row r="6" spans="1:12" x14ac:dyDescent="0.3">
      <c r="A6" s="1" t="s">
        <v>1557</v>
      </c>
      <c r="B6" s="1" t="s">
        <v>1558</v>
      </c>
      <c r="C6" s="1" t="s">
        <v>1559</v>
      </c>
      <c r="D6" s="1" t="s">
        <v>1560</v>
      </c>
      <c r="E6" s="1" t="s">
        <v>1561</v>
      </c>
      <c r="K6" s="7" t="s">
        <v>1566</v>
      </c>
      <c r="L6">
        <v>237</v>
      </c>
    </row>
    <row r="7" spans="1:12"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row r="12" spans="1:12" x14ac:dyDescent="0.3">
      <c r="H12" s="6" t="s">
        <v>1565</v>
      </c>
      <c r="I12" t="s">
        <v>1573</v>
      </c>
    </row>
    <row r="13" spans="1:12" x14ac:dyDescent="0.3">
      <c r="B13" t="s">
        <v>1569</v>
      </c>
      <c r="C13" t="s">
        <v>1570</v>
      </c>
      <c r="D13" t="s">
        <v>1571</v>
      </c>
      <c r="H13" s="7" t="s">
        <v>50</v>
      </c>
      <c r="I13">
        <v>1</v>
      </c>
    </row>
    <row r="14" spans="1:12" x14ac:dyDescent="0.3">
      <c r="B14">
        <f>COUNT(Table1[Employee Number])</f>
        <v>1470</v>
      </c>
      <c r="C14">
        <f>SUM(Table1[CF_attrition count])</f>
        <v>237</v>
      </c>
      <c r="D14">
        <f>AVERAGE(Table1[Age])</f>
        <v>36.923809523809524</v>
      </c>
      <c r="H14" s="7" t="s">
        <v>76</v>
      </c>
      <c r="I14">
        <v>1</v>
      </c>
    </row>
    <row r="15" spans="1:12" x14ac:dyDescent="0.3">
      <c r="H15" s="7" t="s">
        <v>801</v>
      </c>
      <c r="I15">
        <v>1</v>
      </c>
    </row>
    <row r="16" spans="1:12" x14ac:dyDescent="0.3">
      <c r="B16" t="s">
        <v>1572</v>
      </c>
      <c r="C16" t="s">
        <v>1574</v>
      </c>
      <c r="D16" t="s">
        <v>1575</v>
      </c>
      <c r="E16" t="s">
        <v>1576</v>
      </c>
      <c r="H16" s="7" t="s">
        <v>803</v>
      </c>
      <c r="I16">
        <v>1</v>
      </c>
    </row>
    <row r="17" spans="2:9" x14ac:dyDescent="0.3">
      <c r="B17">
        <f>GETPIVOTDATA("COUNT OF EMPLOYEE NUMBER",I12)</f>
        <v>588</v>
      </c>
      <c r="C17">
        <f>GETPIVOTDATA("SUM OF CF_ATTRITION COUNT",L3)</f>
        <v>237</v>
      </c>
      <c r="D17">
        <f>GETPIVOTDATA("COUNT OF EMPLOYEE NUMBER",I12)-GETPIVOTDATA("SUM OF CF_ATTRITION COUNT",L3)</f>
        <v>351</v>
      </c>
      <c r="E17" s="3">
        <f>GETPIVOTDATA("SUM OF CF_ATTRITION COUNT",L3)/GETPIVOTDATA("COUNT OF EMPLOYEE NUMBER",I12)</f>
        <v>0.40306122448979592</v>
      </c>
      <c r="H17" s="7" t="s">
        <v>804</v>
      </c>
      <c r="I17">
        <v>1</v>
      </c>
    </row>
    <row r="18" spans="2:9" x14ac:dyDescent="0.3">
      <c r="H18" s="7" t="s">
        <v>808</v>
      </c>
      <c r="I18">
        <v>1</v>
      </c>
    </row>
    <row r="19" spans="2:9" x14ac:dyDescent="0.3">
      <c r="H19" s="7" t="s">
        <v>810</v>
      </c>
      <c r="I19">
        <v>1</v>
      </c>
    </row>
    <row r="20" spans="2:9" x14ac:dyDescent="0.3">
      <c r="H20" s="7" t="s">
        <v>812</v>
      </c>
      <c r="I20">
        <v>1</v>
      </c>
    </row>
    <row r="21" spans="2:9" x14ac:dyDescent="0.3">
      <c r="H21" s="7" t="s">
        <v>813</v>
      </c>
      <c r="I21">
        <v>1</v>
      </c>
    </row>
    <row r="22" spans="2:9" x14ac:dyDescent="0.3">
      <c r="H22" s="7" t="s">
        <v>814</v>
      </c>
      <c r="I22">
        <v>1</v>
      </c>
    </row>
    <row r="23" spans="2:9" x14ac:dyDescent="0.3">
      <c r="H23" s="7" t="s">
        <v>815</v>
      </c>
      <c r="I23">
        <v>1</v>
      </c>
    </row>
    <row r="24" spans="2:9" x14ac:dyDescent="0.3">
      <c r="H24" s="7" t="s">
        <v>816</v>
      </c>
      <c r="I24">
        <v>1</v>
      </c>
    </row>
    <row r="25" spans="2:9" x14ac:dyDescent="0.3">
      <c r="H25" s="7" t="s">
        <v>821</v>
      </c>
      <c r="I25">
        <v>1</v>
      </c>
    </row>
    <row r="26" spans="2:9" x14ac:dyDescent="0.3">
      <c r="H26" s="7" t="s">
        <v>822</v>
      </c>
      <c r="I26">
        <v>1</v>
      </c>
    </row>
    <row r="27" spans="2:9" x14ac:dyDescent="0.3">
      <c r="H27" s="7" t="s">
        <v>823</v>
      </c>
      <c r="I27">
        <v>1</v>
      </c>
    </row>
    <row r="28" spans="2:9" x14ac:dyDescent="0.3">
      <c r="H28" s="7" t="s">
        <v>827</v>
      </c>
      <c r="I28">
        <v>1</v>
      </c>
    </row>
    <row r="29" spans="2:9" x14ac:dyDescent="0.3">
      <c r="H29" s="7" t="s">
        <v>828</v>
      </c>
      <c r="I29">
        <v>1</v>
      </c>
    </row>
    <row r="30" spans="2:9" x14ac:dyDescent="0.3">
      <c r="H30" s="7" t="s">
        <v>830</v>
      </c>
      <c r="I30">
        <v>1</v>
      </c>
    </row>
    <row r="31" spans="2:9" x14ac:dyDescent="0.3">
      <c r="H31" s="7" t="s">
        <v>833</v>
      </c>
      <c r="I31">
        <v>1</v>
      </c>
    </row>
    <row r="32" spans="2:9" x14ac:dyDescent="0.3">
      <c r="H32" s="7" t="s">
        <v>834</v>
      </c>
      <c r="I32">
        <v>1</v>
      </c>
    </row>
    <row r="33" spans="8:9" x14ac:dyDescent="0.3">
      <c r="H33" s="7" t="s">
        <v>835</v>
      </c>
      <c r="I33">
        <v>1</v>
      </c>
    </row>
    <row r="34" spans="8:9" x14ac:dyDescent="0.3">
      <c r="H34" s="7" t="s">
        <v>836</v>
      </c>
      <c r="I34">
        <v>1</v>
      </c>
    </row>
    <row r="35" spans="8:9" x14ac:dyDescent="0.3">
      <c r="H35" s="7" t="s">
        <v>837</v>
      </c>
      <c r="I35">
        <v>1</v>
      </c>
    </row>
    <row r="36" spans="8:9" x14ac:dyDescent="0.3">
      <c r="H36" s="7" t="s">
        <v>838</v>
      </c>
      <c r="I36">
        <v>1</v>
      </c>
    </row>
    <row r="37" spans="8:9" x14ac:dyDescent="0.3">
      <c r="H37" s="7" t="s">
        <v>839</v>
      </c>
      <c r="I37">
        <v>1</v>
      </c>
    </row>
    <row r="38" spans="8:9" x14ac:dyDescent="0.3">
      <c r="H38" s="7" t="s">
        <v>840</v>
      </c>
      <c r="I38">
        <v>1</v>
      </c>
    </row>
    <row r="39" spans="8:9" x14ac:dyDescent="0.3">
      <c r="H39" s="7" t="s">
        <v>844</v>
      </c>
      <c r="I39">
        <v>1</v>
      </c>
    </row>
    <row r="40" spans="8:9" x14ac:dyDescent="0.3">
      <c r="H40" s="7" t="s">
        <v>847</v>
      </c>
      <c r="I40">
        <v>1</v>
      </c>
    </row>
    <row r="41" spans="8:9" x14ac:dyDescent="0.3">
      <c r="H41" s="7" t="s">
        <v>851</v>
      </c>
      <c r="I41">
        <v>1</v>
      </c>
    </row>
    <row r="42" spans="8:9" x14ac:dyDescent="0.3">
      <c r="H42" s="7" t="s">
        <v>853</v>
      </c>
      <c r="I42">
        <v>1</v>
      </c>
    </row>
    <row r="43" spans="8:9" x14ac:dyDescent="0.3">
      <c r="H43" s="7" t="s">
        <v>167</v>
      </c>
      <c r="I43">
        <v>1</v>
      </c>
    </row>
    <row r="44" spans="8:9" x14ac:dyDescent="0.3">
      <c r="H44" s="7" t="s">
        <v>855</v>
      </c>
      <c r="I44">
        <v>1</v>
      </c>
    </row>
    <row r="45" spans="8:9" x14ac:dyDescent="0.3">
      <c r="H45" s="7" t="s">
        <v>856</v>
      </c>
      <c r="I45">
        <v>1</v>
      </c>
    </row>
    <row r="46" spans="8:9" x14ac:dyDescent="0.3">
      <c r="H46" s="7" t="s">
        <v>857</v>
      </c>
      <c r="I46">
        <v>1</v>
      </c>
    </row>
    <row r="47" spans="8:9" x14ac:dyDescent="0.3">
      <c r="H47" s="7" t="s">
        <v>860</v>
      </c>
      <c r="I47">
        <v>1</v>
      </c>
    </row>
    <row r="48" spans="8:9" x14ac:dyDescent="0.3">
      <c r="H48" s="7" t="s">
        <v>861</v>
      </c>
      <c r="I48">
        <v>1</v>
      </c>
    </row>
    <row r="49" spans="8:9" x14ac:dyDescent="0.3">
      <c r="H49" s="7" t="s">
        <v>862</v>
      </c>
      <c r="I49">
        <v>1</v>
      </c>
    </row>
    <row r="50" spans="8:9" x14ac:dyDescent="0.3">
      <c r="H50" s="7" t="s">
        <v>867</v>
      </c>
      <c r="I50">
        <v>1</v>
      </c>
    </row>
    <row r="51" spans="8:9" x14ac:dyDescent="0.3">
      <c r="H51" s="7" t="s">
        <v>868</v>
      </c>
      <c r="I51">
        <v>1</v>
      </c>
    </row>
    <row r="52" spans="8:9" x14ac:dyDescent="0.3">
      <c r="H52" s="7" t="s">
        <v>872</v>
      </c>
      <c r="I52">
        <v>1</v>
      </c>
    </row>
    <row r="53" spans="8:9" x14ac:dyDescent="0.3">
      <c r="H53" s="7" t="s">
        <v>876</v>
      </c>
      <c r="I53">
        <v>1</v>
      </c>
    </row>
    <row r="54" spans="8:9" x14ac:dyDescent="0.3">
      <c r="H54" s="7" t="s">
        <v>879</v>
      </c>
      <c r="I54">
        <v>1</v>
      </c>
    </row>
    <row r="55" spans="8:9" x14ac:dyDescent="0.3">
      <c r="H55" s="7" t="s">
        <v>886</v>
      </c>
      <c r="I55">
        <v>1</v>
      </c>
    </row>
    <row r="56" spans="8:9" x14ac:dyDescent="0.3">
      <c r="H56" s="7" t="s">
        <v>889</v>
      </c>
      <c r="I56">
        <v>1</v>
      </c>
    </row>
    <row r="57" spans="8:9" x14ac:dyDescent="0.3">
      <c r="H57" s="7" t="s">
        <v>892</v>
      </c>
      <c r="I57">
        <v>1</v>
      </c>
    </row>
    <row r="58" spans="8:9" x14ac:dyDescent="0.3">
      <c r="H58" s="7" t="s">
        <v>893</v>
      </c>
      <c r="I58">
        <v>1</v>
      </c>
    </row>
    <row r="59" spans="8:9" x14ac:dyDescent="0.3">
      <c r="H59" s="7" t="s">
        <v>896</v>
      </c>
      <c r="I59">
        <v>1</v>
      </c>
    </row>
    <row r="60" spans="8:9" x14ac:dyDescent="0.3">
      <c r="H60" s="7" t="s">
        <v>899</v>
      </c>
      <c r="I60">
        <v>1</v>
      </c>
    </row>
    <row r="61" spans="8:9" x14ac:dyDescent="0.3">
      <c r="H61" s="7" t="s">
        <v>907</v>
      </c>
      <c r="I61">
        <v>1</v>
      </c>
    </row>
    <row r="62" spans="8:9" x14ac:dyDescent="0.3">
      <c r="H62" s="7" t="s">
        <v>913</v>
      </c>
      <c r="I62">
        <v>1</v>
      </c>
    </row>
    <row r="63" spans="8:9" x14ac:dyDescent="0.3">
      <c r="H63" s="7" t="s">
        <v>916</v>
      </c>
      <c r="I63">
        <v>1</v>
      </c>
    </row>
    <row r="64" spans="8:9" x14ac:dyDescent="0.3">
      <c r="H64" s="7" t="s">
        <v>918</v>
      </c>
      <c r="I64">
        <v>1</v>
      </c>
    </row>
    <row r="65" spans="8:9" x14ac:dyDescent="0.3">
      <c r="H65" s="7" t="s">
        <v>920</v>
      </c>
      <c r="I65">
        <v>1</v>
      </c>
    </row>
    <row r="66" spans="8:9" x14ac:dyDescent="0.3">
      <c r="H66" s="7" t="s">
        <v>921</v>
      </c>
      <c r="I66">
        <v>1</v>
      </c>
    </row>
    <row r="67" spans="8:9" x14ac:dyDescent="0.3">
      <c r="H67" s="7" t="s">
        <v>926</v>
      </c>
      <c r="I67">
        <v>1</v>
      </c>
    </row>
    <row r="68" spans="8:9" x14ac:dyDescent="0.3">
      <c r="H68" s="7" t="s">
        <v>929</v>
      </c>
      <c r="I68">
        <v>1</v>
      </c>
    </row>
    <row r="69" spans="8:9" x14ac:dyDescent="0.3">
      <c r="H69" s="7" t="s">
        <v>933</v>
      </c>
      <c r="I69">
        <v>1</v>
      </c>
    </row>
    <row r="70" spans="8:9" x14ac:dyDescent="0.3">
      <c r="H70" s="7" t="s">
        <v>934</v>
      </c>
      <c r="I70">
        <v>1</v>
      </c>
    </row>
    <row r="71" spans="8:9" x14ac:dyDescent="0.3">
      <c r="H71" s="7" t="s">
        <v>935</v>
      </c>
      <c r="I71">
        <v>1</v>
      </c>
    </row>
    <row r="72" spans="8:9" x14ac:dyDescent="0.3">
      <c r="H72" s="7" t="s">
        <v>936</v>
      </c>
      <c r="I72">
        <v>1</v>
      </c>
    </row>
    <row r="73" spans="8:9" x14ac:dyDescent="0.3">
      <c r="H73" s="7" t="s">
        <v>938</v>
      </c>
      <c r="I73">
        <v>1</v>
      </c>
    </row>
    <row r="74" spans="8:9" x14ac:dyDescent="0.3">
      <c r="H74" s="7" t="s">
        <v>939</v>
      </c>
      <c r="I74">
        <v>1</v>
      </c>
    </row>
    <row r="75" spans="8:9" x14ac:dyDescent="0.3">
      <c r="H75" s="7" t="s">
        <v>942</v>
      </c>
      <c r="I75">
        <v>1</v>
      </c>
    </row>
    <row r="76" spans="8:9" x14ac:dyDescent="0.3">
      <c r="H76" s="7" t="s">
        <v>943</v>
      </c>
      <c r="I76">
        <v>1</v>
      </c>
    </row>
    <row r="77" spans="8:9" x14ac:dyDescent="0.3">
      <c r="H77" s="7" t="s">
        <v>945</v>
      </c>
      <c r="I77">
        <v>1</v>
      </c>
    </row>
    <row r="78" spans="8:9" x14ac:dyDescent="0.3">
      <c r="H78" s="7" t="s">
        <v>176</v>
      </c>
      <c r="I78">
        <v>1</v>
      </c>
    </row>
    <row r="79" spans="8:9" x14ac:dyDescent="0.3">
      <c r="H79" s="7" t="s">
        <v>951</v>
      </c>
      <c r="I79">
        <v>1</v>
      </c>
    </row>
    <row r="80" spans="8:9" x14ac:dyDescent="0.3">
      <c r="H80" s="7" t="s">
        <v>955</v>
      </c>
      <c r="I80">
        <v>1</v>
      </c>
    </row>
    <row r="81" spans="8:9" x14ac:dyDescent="0.3">
      <c r="H81" s="7" t="s">
        <v>956</v>
      </c>
      <c r="I81">
        <v>1</v>
      </c>
    </row>
    <row r="82" spans="8:9" x14ac:dyDescent="0.3">
      <c r="H82" s="7" t="s">
        <v>964</v>
      </c>
      <c r="I82">
        <v>1</v>
      </c>
    </row>
    <row r="83" spans="8:9" x14ac:dyDescent="0.3">
      <c r="H83" s="7" t="s">
        <v>965</v>
      </c>
      <c r="I83">
        <v>1</v>
      </c>
    </row>
    <row r="84" spans="8:9" x14ac:dyDescent="0.3">
      <c r="H84" s="7" t="s">
        <v>966</v>
      </c>
      <c r="I84">
        <v>1</v>
      </c>
    </row>
    <row r="85" spans="8:9" x14ac:dyDescent="0.3">
      <c r="H85" s="7" t="s">
        <v>968</v>
      </c>
      <c r="I85">
        <v>1</v>
      </c>
    </row>
    <row r="86" spans="8:9" x14ac:dyDescent="0.3">
      <c r="H86" s="7" t="s">
        <v>971</v>
      </c>
      <c r="I86">
        <v>1</v>
      </c>
    </row>
    <row r="87" spans="8:9" x14ac:dyDescent="0.3">
      <c r="H87" s="7" t="s">
        <v>972</v>
      </c>
      <c r="I87">
        <v>1</v>
      </c>
    </row>
    <row r="88" spans="8:9" x14ac:dyDescent="0.3">
      <c r="H88" s="7" t="s">
        <v>974</v>
      </c>
      <c r="I88">
        <v>1</v>
      </c>
    </row>
    <row r="89" spans="8:9" x14ac:dyDescent="0.3">
      <c r="H89" s="7" t="s">
        <v>975</v>
      </c>
      <c r="I89">
        <v>1</v>
      </c>
    </row>
    <row r="90" spans="8:9" x14ac:dyDescent="0.3">
      <c r="H90" s="7" t="s">
        <v>976</v>
      </c>
      <c r="I90">
        <v>1</v>
      </c>
    </row>
    <row r="91" spans="8:9" x14ac:dyDescent="0.3">
      <c r="H91" s="7" t="s">
        <v>977</v>
      </c>
      <c r="I91">
        <v>1</v>
      </c>
    </row>
    <row r="92" spans="8:9" x14ac:dyDescent="0.3">
      <c r="H92" s="7" t="s">
        <v>980</v>
      </c>
      <c r="I92">
        <v>1</v>
      </c>
    </row>
    <row r="93" spans="8:9" x14ac:dyDescent="0.3">
      <c r="H93" s="7" t="s">
        <v>981</v>
      </c>
      <c r="I93">
        <v>1</v>
      </c>
    </row>
    <row r="94" spans="8:9" x14ac:dyDescent="0.3">
      <c r="H94" s="7" t="s">
        <v>179</v>
      </c>
      <c r="I94">
        <v>1</v>
      </c>
    </row>
    <row r="95" spans="8:9" x14ac:dyDescent="0.3">
      <c r="H95" s="7" t="s">
        <v>989</v>
      </c>
      <c r="I95">
        <v>1</v>
      </c>
    </row>
    <row r="96" spans="8:9" x14ac:dyDescent="0.3">
      <c r="H96" s="7" t="s">
        <v>990</v>
      </c>
      <c r="I96">
        <v>1</v>
      </c>
    </row>
    <row r="97" spans="8:9" x14ac:dyDescent="0.3">
      <c r="H97" s="7" t="s">
        <v>993</v>
      </c>
      <c r="I97">
        <v>1</v>
      </c>
    </row>
    <row r="98" spans="8:9" x14ac:dyDescent="0.3">
      <c r="H98" s="7" t="s">
        <v>997</v>
      </c>
      <c r="I98">
        <v>1</v>
      </c>
    </row>
    <row r="99" spans="8:9" x14ac:dyDescent="0.3">
      <c r="H99" s="7" t="s">
        <v>999</v>
      </c>
      <c r="I99">
        <v>1</v>
      </c>
    </row>
    <row r="100" spans="8:9" x14ac:dyDescent="0.3">
      <c r="H100" s="7" t="s">
        <v>180</v>
      </c>
      <c r="I100">
        <v>1</v>
      </c>
    </row>
    <row r="101" spans="8:9" x14ac:dyDescent="0.3">
      <c r="H101" s="7" t="s">
        <v>1000</v>
      </c>
      <c r="I101">
        <v>1</v>
      </c>
    </row>
    <row r="102" spans="8:9" x14ac:dyDescent="0.3">
      <c r="H102" s="7" t="s">
        <v>1001</v>
      </c>
      <c r="I102">
        <v>1</v>
      </c>
    </row>
    <row r="103" spans="8:9" x14ac:dyDescent="0.3">
      <c r="H103" s="7" t="s">
        <v>1004</v>
      </c>
      <c r="I103">
        <v>1</v>
      </c>
    </row>
    <row r="104" spans="8:9" x14ac:dyDescent="0.3">
      <c r="H104" s="7" t="s">
        <v>1009</v>
      </c>
      <c r="I104">
        <v>1</v>
      </c>
    </row>
    <row r="105" spans="8:9" x14ac:dyDescent="0.3">
      <c r="H105" s="7" t="s">
        <v>1010</v>
      </c>
      <c r="I105">
        <v>1</v>
      </c>
    </row>
    <row r="106" spans="8:9" x14ac:dyDescent="0.3">
      <c r="H106" s="7" t="s">
        <v>1011</v>
      </c>
      <c r="I106">
        <v>1</v>
      </c>
    </row>
    <row r="107" spans="8:9" x14ac:dyDescent="0.3">
      <c r="H107" s="7" t="s">
        <v>1012</v>
      </c>
      <c r="I107">
        <v>1</v>
      </c>
    </row>
    <row r="108" spans="8:9" x14ac:dyDescent="0.3">
      <c r="H108" s="7" t="s">
        <v>1014</v>
      </c>
      <c r="I108">
        <v>1</v>
      </c>
    </row>
    <row r="109" spans="8:9" x14ac:dyDescent="0.3">
      <c r="H109" s="7" t="s">
        <v>1015</v>
      </c>
      <c r="I109">
        <v>1</v>
      </c>
    </row>
    <row r="110" spans="8:9" x14ac:dyDescent="0.3">
      <c r="H110" s="7" t="s">
        <v>1016</v>
      </c>
      <c r="I110">
        <v>1</v>
      </c>
    </row>
    <row r="111" spans="8:9" x14ac:dyDescent="0.3">
      <c r="H111" s="7" t="s">
        <v>1018</v>
      </c>
      <c r="I111">
        <v>1</v>
      </c>
    </row>
    <row r="112" spans="8:9" x14ac:dyDescent="0.3">
      <c r="H112" s="7" t="s">
        <v>1020</v>
      </c>
      <c r="I112">
        <v>1</v>
      </c>
    </row>
    <row r="113" spans="8:9" x14ac:dyDescent="0.3">
      <c r="H113" s="7" t="s">
        <v>1021</v>
      </c>
      <c r="I113">
        <v>1</v>
      </c>
    </row>
    <row r="114" spans="8:9" x14ac:dyDescent="0.3">
      <c r="H114" s="7" t="s">
        <v>1025</v>
      </c>
      <c r="I114">
        <v>1</v>
      </c>
    </row>
    <row r="115" spans="8:9" x14ac:dyDescent="0.3">
      <c r="H115" s="7" t="s">
        <v>1026</v>
      </c>
      <c r="I115">
        <v>1</v>
      </c>
    </row>
    <row r="116" spans="8:9" x14ac:dyDescent="0.3">
      <c r="H116" s="7" t="s">
        <v>1027</v>
      </c>
      <c r="I116">
        <v>1</v>
      </c>
    </row>
    <row r="117" spans="8:9" x14ac:dyDescent="0.3">
      <c r="H117" s="7" t="s">
        <v>1028</v>
      </c>
      <c r="I117">
        <v>1</v>
      </c>
    </row>
    <row r="118" spans="8:9" x14ac:dyDescent="0.3">
      <c r="H118" s="7" t="s">
        <v>1029</v>
      </c>
      <c r="I118">
        <v>1</v>
      </c>
    </row>
    <row r="119" spans="8:9" x14ac:dyDescent="0.3">
      <c r="H119" s="7" t="s">
        <v>1032</v>
      </c>
      <c r="I119">
        <v>1</v>
      </c>
    </row>
    <row r="120" spans="8:9" x14ac:dyDescent="0.3">
      <c r="H120" s="7" t="s">
        <v>1034</v>
      </c>
      <c r="I120">
        <v>1</v>
      </c>
    </row>
    <row r="121" spans="8:9" x14ac:dyDescent="0.3">
      <c r="H121" s="7" t="s">
        <v>1036</v>
      </c>
      <c r="I121">
        <v>1</v>
      </c>
    </row>
    <row r="122" spans="8:9" x14ac:dyDescent="0.3">
      <c r="H122" s="7" t="s">
        <v>1039</v>
      </c>
      <c r="I122">
        <v>1</v>
      </c>
    </row>
    <row r="123" spans="8:9" x14ac:dyDescent="0.3">
      <c r="H123" s="7" t="s">
        <v>1044</v>
      </c>
      <c r="I123">
        <v>1</v>
      </c>
    </row>
    <row r="124" spans="8:9" x14ac:dyDescent="0.3">
      <c r="H124" s="7" t="s">
        <v>1047</v>
      </c>
      <c r="I124">
        <v>1</v>
      </c>
    </row>
    <row r="125" spans="8:9" x14ac:dyDescent="0.3">
      <c r="H125" s="7" t="s">
        <v>1048</v>
      </c>
      <c r="I125">
        <v>1</v>
      </c>
    </row>
    <row r="126" spans="8:9" x14ac:dyDescent="0.3">
      <c r="H126" s="7" t="s">
        <v>1050</v>
      </c>
      <c r="I126">
        <v>1</v>
      </c>
    </row>
    <row r="127" spans="8:9" x14ac:dyDescent="0.3">
      <c r="H127" s="7" t="s">
        <v>1052</v>
      </c>
      <c r="I127">
        <v>1</v>
      </c>
    </row>
    <row r="128" spans="8:9" x14ac:dyDescent="0.3">
      <c r="H128" s="7" t="s">
        <v>1054</v>
      </c>
      <c r="I128">
        <v>1</v>
      </c>
    </row>
    <row r="129" spans="8:9" x14ac:dyDescent="0.3">
      <c r="H129" s="7" t="s">
        <v>1055</v>
      </c>
      <c r="I129">
        <v>1</v>
      </c>
    </row>
    <row r="130" spans="8:9" x14ac:dyDescent="0.3">
      <c r="H130" s="7" t="s">
        <v>1056</v>
      </c>
      <c r="I130">
        <v>1</v>
      </c>
    </row>
    <row r="131" spans="8:9" x14ac:dyDescent="0.3">
      <c r="H131" s="7" t="s">
        <v>1057</v>
      </c>
      <c r="I131">
        <v>1</v>
      </c>
    </row>
    <row r="132" spans="8:9" x14ac:dyDescent="0.3">
      <c r="H132" s="7" t="s">
        <v>186</v>
      </c>
      <c r="I132">
        <v>1</v>
      </c>
    </row>
    <row r="133" spans="8:9" x14ac:dyDescent="0.3">
      <c r="H133" s="7" t="s">
        <v>1061</v>
      </c>
      <c r="I133">
        <v>1</v>
      </c>
    </row>
    <row r="134" spans="8:9" x14ac:dyDescent="0.3">
      <c r="H134" s="7" t="s">
        <v>1062</v>
      </c>
      <c r="I134">
        <v>1</v>
      </c>
    </row>
    <row r="135" spans="8:9" x14ac:dyDescent="0.3">
      <c r="H135" s="7" t="s">
        <v>1064</v>
      </c>
      <c r="I135">
        <v>1</v>
      </c>
    </row>
    <row r="136" spans="8:9" x14ac:dyDescent="0.3">
      <c r="H136" s="7" t="s">
        <v>187</v>
      </c>
      <c r="I136">
        <v>1</v>
      </c>
    </row>
    <row r="137" spans="8:9" x14ac:dyDescent="0.3">
      <c r="H137" s="7" t="s">
        <v>1065</v>
      </c>
      <c r="I137">
        <v>1</v>
      </c>
    </row>
    <row r="138" spans="8:9" x14ac:dyDescent="0.3">
      <c r="H138" s="7" t="s">
        <v>1067</v>
      </c>
      <c r="I138">
        <v>1</v>
      </c>
    </row>
    <row r="139" spans="8:9" x14ac:dyDescent="0.3">
      <c r="H139" s="7" t="s">
        <v>1072</v>
      </c>
      <c r="I139">
        <v>1</v>
      </c>
    </row>
    <row r="140" spans="8:9" x14ac:dyDescent="0.3">
      <c r="H140" s="7" t="s">
        <v>189</v>
      </c>
      <c r="I140">
        <v>1</v>
      </c>
    </row>
    <row r="141" spans="8:9" x14ac:dyDescent="0.3">
      <c r="H141" s="7" t="s">
        <v>1078</v>
      </c>
      <c r="I141">
        <v>1</v>
      </c>
    </row>
    <row r="142" spans="8:9" x14ac:dyDescent="0.3">
      <c r="H142" s="7" t="s">
        <v>1079</v>
      </c>
      <c r="I142">
        <v>1</v>
      </c>
    </row>
    <row r="143" spans="8:9" x14ac:dyDescent="0.3">
      <c r="H143" s="7" t="s">
        <v>1080</v>
      </c>
      <c r="I143">
        <v>1</v>
      </c>
    </row>
    <row r="144" spans="8:9" x14ac:dyDescent="0.3">
      <c r="H144" s="7" t="s">
        <v>1081</v>
      </c>
      <c r="I144">
        <v>1</v>
      </c>
    </row>
    <row r="145" spans="8:9" x14ac:dyDescent="0.3">
      <c r="H145" s="7" t="s">
        <v>1083</v>
      </c>
      <c r="I145">
        <v>1</v>
      </c>
    </row>
    <row r="146" spans="8:9" x14ac:dyDescent="0.3">
      <c r="H146" s="7" t="s">
        <v>1118</v>
      </c>
      <c r="I146">
        <v>1</v>
      </c>
    </row>
    <row r="147" spans="8:9" x14ac:dyDescent="0.3">
      <c r="H147" s="7" t="s">
        <v>190</v>
      </c>
      <c r="I147">
        <v>1</v>
      </c>
    </row>
    <row r="148" spans="8:9" x14ac:dyDescent="0.3">
      <c r="H148" s="7" t="s">
        <v>1141</v>
      </c>
      <c r="I148">
        <v>1</v>
      </c>
    </row>
    <row r="149" spans="8:9" x14ac:dyDescent="0.3">
      <c r="H149" s="7" t="s">
        <v>1520</v>
      </c>
      <c r="I149">
        <v>1</v>
      </c>
    </row>
    <row r="150" spans="8:9" x14ac:dyDescent="0.3">
      <c r="H150" s="7" t="s">
        <v>1151</v>
      </c>
      <c r="I150">
        <v>1</v>
      </c>
    </row>
    <row r="151" spans="8:9" x14ac:dyDescent="0.3">
      <c r="H151" s="7" t="s">
        <v>1475</v>
      </c>
      <c r="I151">
        <v>1</v>
      </c>
    </row>
    <row r="152" spans="8:9" x14ac:dyDescent="0.3">
      <c r="H152" s="7" t="s">
        <v>1379</v>
      </c>
      <c r="I152">
        <v>1</v>
      </c>
    </row>
    <row r="153" spans="8:9" x14ac:dyDescent="0.3">
      <c r="H153" s="7" t="s">
        <v>1489</v>
      </c>
      <c r="I153">
        <v>1</v>
      </c>
    </row>
    <row r="154" spans="8:9" x14ac:dyDescent="0.3">
      <c r="H154" s="7" t="s">
        <v>1154</v>
      </c>
      <c r="I154">
        <v>1</v>
      </c>
    </row>
    <row r="155" spans="8:9" x14ac:dyDescent="0.3">
      <c r="H155" s="7" t="s">
        <v>1140</v>
      </c>
      <c r="I155">
        <v>1</v>
      </c>
    </row>
    <row r="156" spans="8:9" x14ac:dyDescent="0.3">
      <c r="H156" s="7" t="s">
        <v>1492</v>
      </c>
      <c r="I156">
        <v>1</v>
      </c>
    </row>
    <row r="157" spans="8:9" x14ac:dyDescent="0.3">
      <c r="H157" s="7" t="s">
        <v>1167</v>
      </c>
      <c r="I157">
        <v>1</v>
      </c>
    </row>
    <row r="158" spans="8:9" x14ac:dyDescent="0.3">
      <c r="H158" s="7" t="s">
        <v>193</v>
      </c>
      <c r="I158">
        <v>1</v>
      </c>
    </row>
    <row r="159" spans="8:9" x14ac:dyDescent="0.3">
      <c r="H159" s="7" t="s">
        <v>1432</v>
      </c>
      <c r="I159">
        <v>1</v>
      </c>
    </row>
    <row r="160" spans="8:9" x14ac:dyDescent="0.3">
      <c r="H160" s="7" t="s">
        <v>1135</v>
      </c>
      <c r="I160">
        <v>1</v>
      </c>
    </row>
    <row r="161" spans="8:9" x14ac:dyDescent="0.3">
      <c r="H161" s="7" t="s">
        <v>1378</v>
      </c>
      <c r="I161">
        <v>1</v>
      </c>
    </row>
    <row r="162" spans="8:9" x14ac:dyDescent="0.3">
      <c r="H162" s="7" t="s">
        <v>1126</v>
      </c>
      <c r="I162">
        <v>1</v>
      </c>
    </row>
    <row r="163" spans="8:9" x14ac:dyDescent="0.3">
      <c r="H163" s="7" t="s">
        <v>194</v>
      </c>
      <c r="I163">
        <v>1</v>
      </c>
    </row>
    <row r="164" spans="8:9" x14ac:dyDescent="0.3">
      <c r="H164" s="7" t="s">
        <v>1546</v>
      </c>
      <c r="I164">
        <v>1</v>
      </c>
    </row>
    <row r="165" spans="8:9" x14ac:dyDescent="0.3">
      <c r="H165" s="7" t="s">
        <v>1486</v>
      </c>
      <c r="I165">
        <v>1</v>
      </c>
    </row>
    <row r="166" spans="8:9" x14ac:dyDescent="0.3">
      <c r="H166" s="7" t="s">
        <v>1105</v>
      </c>
      <c r="I166">
        <v>1</v>
      </c>
    </row>
    <row r="167" spans="8:9" x14ac:dyDescent="0.3">
      <c r="H167" s="7" t="s">
        <v>1490</v>
      </c>
      <c r="I167">
        <v>1</v>
      </c>
    </row>
    <row r="168" spans="8:9" x14ac:dyDescent="0.3">
      <c r="H168" s="7" t="s">
        <v>196</v>
      </c>
      <c r="I168">
        <v>1</v>
      </c>
    </row>
    <row r="169" spans="8:9" x14ac:dyDescent="0.3">
      <c r="H169" s="7" t="s">
        <v>1099</v>
      </c>
      <c r="I169">
        <v>1</v>
      </c>
    </row>
    <row r="170" spans="8:9" x14ac:dyDescent="0.3">
      <c r="H170" s="7" t="s">
        <v>1101</v>
      </c>
      <c r="I170">
        <v>1</v>
      </c>
    </row>
    <row r="171" spans="8:9" x14ac:dyDescent="0.3">
      <c r="H171" s="7" t="s">
        <v>1488</v>
      </c>
      <c r="I171">
        <v>1</v>
      </c>
    </row>
    <row r="172" spans="8:9" x14ac:dyDescent="0.3">
      <c r="H172" s="7" t="s">
        <v>1547</v>
      </c>
      <c r="I172">
        <v>1</v>
      </c>
    </row>
    <row r="173" spans="8:9" x14ac:dyDescent="0.3">
      <c r="H173" s="7" t="s">
        <v>1090</v>
      </c>
      <c r="I173">
        <v>1</v>
      </c>
    </row>
    <row r="174" spans="8:9" x14ac:dyDescent="0.3">
      <c r="H174" s="7" t="s">
        <v>85</v>
      </c>
      <c r="I174">
        <v>1</v>
      </c>
    </row>
    <row r="175" spans="8:9" x14ac:dyDescent="0.3">
      <c r="H175" s="7" t="s">
        <v>1113</v>
      </c>
      <c r="I175">
        <v>1</v>
      </c>
    </row>
    <row r="176" spans="8:9" x14ac:dyDescent="0.3">
      <c r="H176" s="7" t="s">
        <v>1376</v>
      </c>
      <c r="I176">
        <v>1</v>
      </c>
    </row>
    <row r="177" spans="8:9" x14ac:dyDescent="0.3">
      <c r="H177" s="7" t="s">
        <v>1434</v>
      </c>
      <c r="I177">
        <v>1</v>
      </c>
    </row>
    <row r="178" spans="8:9" x14ac:dyDescent="0.3">
      <c r="H178" s="7" t="s">
        <v>198</v>
      </c>
      <c r="I178">
        <v>1</v>
      </c>
    </row>
    <row r="179" spans="8:9" x14ac:dyDescent="0.3">
      <c r="H179" s="7" t="s">
        <v>1097</v>
      </c>
      <c r="I179">
        <v>1</v>
      </c>
    </row>
    <row r="180" spans="8:9" x14ac:dyDescent="0.3">
      <c r="H180" s="7" t="s">
        <v>1425</v>
      </c>
      <c r="I180">
        <v>1</v>
      </c>
    </row>
    <row r="181" spans="8:9" x14ac:dyDescent="0.3">
      <c r="H181" s="7" t="s">
        <v>1143</v>
      </c>
      <c r="I181">
        <v>1</v>
      </c>
    </row>
    <row r="182" spans="8:9" x14ac:dyDescent="0.3">
      <c r="H182" s="7" t="s">
        <v>1161</v>
      </c>
      <c r="I182">
        <v>1</v>
      </c>
    </row>
    <row r="183" spans="8:9" x14ac:dyDescent="0.3">
      <c r="H183" s="7" t="s">
        <v>1149</v>
      </c>
      <c r="I183">
        <v>1</v>
      </c>
    </row>
    <row r="184" spans="8:9" x14ac:dyDescent="0.3">
      <c r="H184" s="7" t="s">
        <v>200</v>
      </c>
      <c r="I184">
        <v>1</v>
      </c>
    </row>
    <row r="185" spans="8:9" x14ac:dyDescent="0.3">
      <c r="H185" s="7" t="s">
        <v>1487</v>
      </c>
      <c r="I185">
        <v>1</v>
      </c>
    </row>
    <row r="186" spans="8:9" x14ac:dyDescent="0.3">
      <c r="H186" s="7" t="s">
        <v>201</v>
      </c>
      <c r="I186">
        <v>1</v>
      </c>
    </row>
    <row r="187" spans="8:9" x14ac:dyDescent="0.3">
      <c r="H187" s="7" t="s">
        <v>1121</v>
      </c>
      <c r="I187">
        <v>1</v>
      </c>
    </row>
    <row r="188" spans="8:9" x14ac:dyDescent="0.3">
      <c r="H188" s="7" t="s">
        <v>202</v>
      </c>
      <c r="I188">
        <v>1</v>
      </c>
    </row>
    <row r="189" spans="8:9" x14ac:dyDescent="0.3">
      <c r="H189" s="7" t="s">
        <v>1438</v>
      </c>
      <c r="I189">
        <v>1</v>
      </c>
    </row>
    <row r="190" spans="8:9" x14ac:dyDescent="0.3">
      <c r="H190" s="7" t="s">
        <v>1127</v>
      </c>
      <c r="I190">
        <v>1</v>
      </c>
    </row>
    <row r="191" spans="8:9" x14ac:dyDescent="0.3">
      <c r="H191" s="7" t="s">
        <v>1153</v>
      </c>
      <c r="I191">
        <v>1</v>
      </c>
    </row>
    <row r="192" spans="8:9" x14ac:dyDescent="0.3">
      <c r="H192" s="7" t="s">
        <v>1524</v>
      </c>
      <c r="I192">
        <v>1</v>
      </c>
    </row>
    <row r="193" spans="8:9" x14ac:dyDescent="0.3">
      <c r="H193" s="7" t="s">
        <v>1491</v>
      </c>
      <c r="I193">
        <v>1</v>
      </c>
    </row>
    <row r="194" spans="8:9" x14ac:dyDescent="0.3">
      <c r="H194" s="7" t="s">
        <v>1125</v>
      </c>
      <c r="I194">
        <v>1</v>
      </c>
    </row>
    <row r="195" spans="8:9" x14ac:dyDescent="0.3">
      <c r="H195" s="7" t="s">
        <v>1430</v>
      </c>
      <c r="I195">
        <v>1</v>
      </c>
    </row>
    <row r="196" spans="8:9" x14ac:dyDescent="0.3">
      <c r="H196" s="7" t="s">
        <v>1170</v>
      </c>
      <c r="I196">
        <v>1</v>
      </c>
    </row>
    <row r="197" spans="8:9" x14ac:dyDescent="0.3">
      <c r="H197" s="7" t="s">
        <v>1171</v>
      </c>
      <c r="I197">
        <v>1</v>
      </c>
    </row>
    <row r="198" spans="8:9" x14ac:dyDescent="0.3">
      <c r="H198" s="7" t="s">
        <v>1367</v>
      </c>
      <c r="I198">
        <v>1</v>
      </c>
    </row>
    <row r="199" spans="8:9" x14ac:dyDescent="0.3">
      <c r="H199" s="7" t="s">
        <v>1163</v>
      </c>
      <c r="I199">
        <v>1</v>
      </c>
    </row>
    <row r="200" spans="8:9" x14ac:dyDescent="0.3">
      <c r="H200" s="7" t="s">
        <v>1349</v>
      </c>
      <c r="I200">
        <v>1</v>
      </c>
    </row>
    <row r="201" spans="8:9" x14ac:dyDescent="0.3">
      <c r="H201" s="7" t="s">
        <v>1138</v>
      </c>
      <c r="I201">
        <v>1</v>
      </c>
    </row>
    <row r="202" spans="8:9" x14ac:dyDescent="0.3">
      <c r="H202" s="7" t="s">
        <v>1355</v>
      </c>
      <c r="I202">
        <v>1</v>
      </c>
    </row>
    <row r="203" spans="8:9" x14ac:dyDescent="0.3">
      <c r="H203" s="7" t="s">
        <v>206</v>
      </c>
      <c r="I203">
        <v>1</v>
      </c>
    </row>
    <row r="204" spans="8:9" x14ac:dyDescent="0.3">
      <c r="H204" s="7" t="s">
        <v>1368</v>
      </c>
      <c r="I204">
        <v>1</v>
      </c>
    </row>
    <row r="205" spans="8:9" x14ac:dyDescent="0.3">
      <c r="H205" s="7" t="s">
        <v>1366</v>
      </c>
      <c r="I205">
        <v>1</v>
      </c>
    </row>
    <row r="206" spans="8:9" x14ac:dyDescent="0.3">
      <c r="H206" s="7" t="s">
        <v>1124</v>
      </c>
      <c r="I206">
        <v>1</v>
      </c>
    </row>
    <row r="207" spans="8:9" x14ac:dyDescent="0.3">
      <c r="H207" s="7" t="s">
        <v>1429</v>
      </c>
      <c r="I207">
        <v>1</v>
      </c>
    </row>
    <row r="208" spans="8:9" x14ac:dyDescent="0.3">
      <c r="H208" s="7" t="s">
        <v>1522</v>
      </c>
      <c r="I208">
        <v>1</v>
      </c>
    </row>
    <row r="209" spans="8:9" x14ac:dyDescent="0.3">
      <c r="H209" s="7" t="s">
        <v>1104</v>
      </c>
      <c r="I209">
        <v>1</v>
      </c>
    </row>
    <row r="210" spans="8:9" x14ac:dyDescent="0.3">
      <c r="H210" s="7" t="s">
        <v>1132</v>
      </c>
      <c r="I210">
        <v>1</v>
      </c>
    </row>
    <row r="211" spans="8:9" x14ac:dyDescent="0.3">
      <c r="H211" s="7" t="s">
        <v>1086</v>
      </c>
      <c r="I211">
        <v>1</v>
      </c>
    </row>
    <row r="212" spans="8:9" x14ac:dyDescent="0.3">
      <c r="H212" s="7" t="s">
        <v>1098</v>
      </c>
      <c r="I212">
        <v>1</v>
      </c>
    </row>
    <row r="213" spans="8:9" x14ac:dyDescent="0.3">
      <c r="H213" s="7" t="s">
        <v>1111</v>
      </c>
      <c r="I213">
        <v>1</v>
      </c>
    </row>
    <row r="214" spans="8:9" x14ac:dyDescent="0.3">
      <c r="H214" s="7" t="s">
        <v>1365</v>
      </c>
      <c r="I214">
        <v>1</v>
      </c>
    </row>
    <row r="215" spans="8:9" x14ac:dyDescent="0.3">
      <c r="H215" s="7" t="s">
        <v>209</v>
      </c>
      <c r="I215">
        <v>1</v>
      </c>
    </row>
    <row r="216" spans="8:9" x14ac:dyDescent="0.3">
      <c r="H216" s="7" t="s">
        <v>1120</v>
      </c>
      <c r="I216">
        <v>1</v>
      </c>
    </row>
    <row r="217" spans="8:9" x14ac:dyDescent="0.3">
      <c r="H217" s="7" t="s">
        <v>1370</v>
      </c>
      <c r="I217">
        <v>1</v>
      </c>
    </row>
    <row r="218" spans="8:9" x14ac:dyDescent="0.3">
      <c r="H218" s="7" t="s">
        <v>1351</v>
      </c>
      <c r="I218">
        <v>1</v>
      </c>
    </row>
    <row r="219" spans="8:9" x14ac:dyDescent="0.3">
      <c r="H219" s="7" t="s">
        <v>1117</v>
      </c>
      <c r="I219">
        <v>1</v>
      </c>
    </row>
    <row r="220" spans="8:9" x14ac:dyDescent="0.3">
      <c r="H220" s="7" t="s">
        <v>210</v>
      </c>
      <c r="I220">
        <v>1</v>
      </c>
    </row>
    <row r="221" spans="8:9" x14ac:dyDescent="0.3">
      <c r="H221" s="7" t="s">
        <v>1137</v>
      </c>
      <c r="I221">
        <v>1</v>
      </c>
    </row>
    <row r="222" spans="8:9" x14ac:dyDescent="0.3">
      <c r="H222" s="7" t="s">
        <v>1133</v>
      </c>
      <c r="I222">
        <v>1</v>
      </c>
    </row>
    <row r="223" spans="8:9" x14ac:dyDescent="0.3">
      <c r="H223" s="7" t="s">
        <v>1112</v>
      </c>
      <c r="I223">
        <v>1</v>
      </c>
    </row>
    <row r="224" spans="8:9" x14ac:dyDescent="0.3">
      <c r="H224" s="7" t="s">
        <v>1172</v>
      </c>
      <c r="I224">
        <v>1</v>
      </c>
    </row>
    <row r="225" spans="8:9" x14ac:dyDescent="0.3">
      <c r="H225" s="7" t="s">
        <v>1110</v>
      </c>
      <c r="I225">
        <v>1</v>
      </c>
    </row>
    <row r="226" spans="8:9" x14ac:dyDescent="0.3">
      <c r="H226" s="7" t="s">
        <v>1363</v>
      </c>
      <c r="I226">
        <v>1</v>
      </c>
    </row>
    <row r="227" spans="8:9" x14ac:dyDescent="0.3">
      <c r="H227" s="7" t="s">
        <v>1085</v>
      </c>
      <c r="I227">
        <v>1</v>
      </c>
    </row>
    <row r="228" spans="8:9" x14ac:dyDescent="0.3">
      <c r="H228" s="7" t="s">
        <v>1433</v>
      </c>
      <c r="I228">
        <v>1</v>
      </c>
    </row>
    <row r="229" spans="8:9" x14ac:dyDescent="0.3">
      <c r="H229" s="7" t="s">
        <v>1166</v>
      </c>
      <c r="I229">
        <v>1</v>
      </c>
    </row>
    <row r="230" spans="8:9" x14ac:dyDescent="0.3">
      <c r="H230" s="7" t="s">
        <v>1357</v>
      </c>
      <c r="I230">
        <v>1</v>
      </c>
    </row>
    <row r="231" spans="8:9" x14ac:dyDescent="0.3">
      <c r="H231" s="7" t="s">
        <v>1426</v>
      </c>
      <c r="I231">
        <v>1</v>
      </c>
    </row>
    <row r="232" spans="8:9" x14ac:dyDescent="0.3">
      <c r="H232" s="7" t="s">
        <v>1155</v>
      </c>
      <c r="I232">
        <v>1</v>
      </c>
    </row>
    <row r="233" spans="8:9" x14ac:dyDescent="0.3">
      <c r="H233" s="7" t="s">
        <v>1473</v>
      </c>
      <c r="I233">
        <v>1</v>
      </c>
    </row>
    <row r="234" spans="8:9" x14ac:dyDescent="0.3">
      <c r="H234" s="7" t="s">
        <v>1353</v>
      </c>
      <c r="I234">
        <v>1</v>
      </c>
    </row>
    <row r="235" spans="8:9" x14ac:dyDescent="0.3">
      <c r="H235" s="7" t="s">
        <v>1129</v>
      </c>
      <c r="I235">
        <v>1</v>
      </c>
    </row>
    <row r="236" spans="8:9" x14ac:dyDescent="0.3">
      <c r="H236" s="7" t="s">
        <v>1521</v>
      </c>
      <c r="I236">
        <v>1</v>
      </c>
    </row>
    <row r="237" spans="8:9" x14ac:dyDescent="0.3">
      <c r="H237" s="7" t="s">
        <v>213</v>
      </c>
      <c r="I237">
        <v>1</v>
      </c>
    </row>
    <row r="238" spans="8:9" x14ac:dyDescent="0.3">
      <c r="H238" s="7" t="s">
        <v>1116</v>
      </c>
      <c r="I238">
        <v>1</v>
      </c>
    </row>
    <row r="239" spans="8:9" x14ac:dyDescent="0.3">
      <c r="H239" s="7" t="s">
        <v>1364</v>
      </c>
      <c r="I239">
        <v>1</v>
      </c>
    </row>
    <row r="240" spans="8:9" x14ac:dyDescent="0.3">
      <c r="H240" s="7" t="s">
        <v>1130</v>
      </c>
      <c r="I240">
        <v>1</v>
      </c>
    </row>
    <row r="241" spans="8:9" x14ac:dyDescent="0.3">
      <c r="H241" s="7" t="s">
        <v>214</v>
      </c>
      <c r="I241">
        <v>1</v>
      </c>
    </row>
    <row r="242" spans="8:9" x14ac:dyDescent="0.3">
      <c r="H242" s="7" t="s">
        <v>1173</v>
      </c>
      <c r="I242">
        <v>1</v>
      </c>
    </row>
    <row r="243" spans="8:9" x14ac:dyDescent="0.3">
      <c r="H243" s="7" t="s">
        <v>1150</v>
      </c>
      <c r="I243">
        <v>1</v>
      </c>
    </row>
    <row r="244" spans="8:9" x14ac:dyDescent="0.3">
      <c r="H244" s="7" t="s">
        <v>1361</v>
      </c>
      <c r="I244">
        <v>1</v>
      </c>
    </row>
    <row r="245" spans="8:9" x14ac:dyDescent="0.3">
      <c r="H245" s="7" t="s">
        <v>1146</v>
      </c>
      <c r="I245">
        <v>1</v>
      </c>
    </row>
    <row r="246" spans="8:9" x14ac:dyDescent="0.3">
      <c r="H246" s="7" t="s">
        <v>1427</v>
      </c>
      <c r="I246">
        <v>1</v>
      </c>
    </row>
    <row r="247" spans="8:9" x14ac:dyDescent="0.3">
      <c r="H247" s="7" t="s">
        <v>215</v>
      </c>
      <c r="I247">
        <v>1</v>
      </c>
    </row>
    <row r="248" spans="8:9" x14ac:dyDescent="0.3">
      <c r="H248" s="7" t="s">
        <v>1428</v>
      </c>
      <c r="I248">
        <v>1</v>
      </c>
    </row>
    <row r="249" spans="8:9" x14ac:dyDescent="0.3">
      <c r="H249" s="7" t="s">
        <v>1100</v>
      </c>
      <c r="I249">
        <v>1</v>
      </c>
    </row>
    <row r="250" spans="8:9" x14ac:dyDescent="0.3">
      <c r="H250" s="7" t="s">
        <v>1484</v>
      </c>
      <c r="I250">
        <v>1</v>
      </c>
    </row>
    <row r="251" spans="8:9" x14ac:dyDescent="0.3">
      <c r="H251" s="7" t="s">
        <v>216</v>
      </c>
      <c r="I251">
        <v>1</v>
      </c>
    </row>
    <row r="252" spans="8:9" x14ac:dyDescent="0.3">
      <c r="H252" s="7" t="s">
        <v>1147</v>
      </c>
      <c r="I252">
        <v>1</v>
      </c>
    </row>
    <row r="253" spans="8:9" x14ac:dyDescent="0.3">
      <c r="H253" s="7" t="s">
        <v>1493</v>
      </c>
      <c r="I253">
        <v>1</v>
      </c>
    </row>
    <row r="254" spans="8:9" x14ac:dyDescent="0.3">
      <c r="H254" s="7" t="s">
        <v>1091</v>
      </c>
      <c r="I254">
        <v>1</v>
      </c>
    </row>
    <row r="255" spans="8:9" x14ac:dyDescent="0.3">
      <c r="H255" s="7" t="s">
        <v>1177</v>
      </c>
      <c r="I255">
        <v>1</v>
      </c>
    </row>
    <row r="256" spans="8:9" x14ac:dyDescent="0.3">
      <c r="H256" s="7" t="s">
        <v>1548</v>
      </c>
      <c r="I256">
        <v>1</v>
      </c>
    </row>
    <row r="257" spans="8:9" x14ac:dyDescent="0.3">
      <c r="H257" s="7" t="s">
        <v>1094</v>
      </c>
      <c r="I257">
        <v>1</v>
      </c>
    </row>
    <row r="258" spans="8:9" x14ac:dyDescent="0.3">
      <c r="H258" s="7" t="s">
        <v>1109</v>
      </c>
      <c r="I258">
        <v>1</v>
      </c>
    </row>
    <row r="259" spans="8:9" x14ac:dyDescent="0.3">
      <c r="H259" s="7" t="s">
        <v>218</v>
      </c>
      <c r="I259">
        <v>1</v>
      </c>
    </row>
    <row r="260" spans="8:9" x14ac:dyDescent="0.3">
      <c r="H260" s="7" t="s">
        <v>1472</v>
      </c>
      <c r="I260">
        <v>1</v>
      </c>
    </row>
    <row r="261" spans="8:9" x14ac:dyDescent="0.3">
      <c r="H261" s="7" t="s">
        <v>1174</v>
      </c>
      <c r="I261">
        <v>1</v>
      </c>
    </row>
    <row r="262" spans="8:9" x14ac:dyDescent="0.3">
      <c r="H262" s="7" t="s">
        <v>1128</v>
      </c>
      <c r="I262">
        <v>1</v>
      </c>
    </row>
    <row r="263" spans="8:9" x14ac:dyDescent="0.3">
      <c r="H263" s="7" t="s">
        <v>1525</v>
      </c>
      <c r="I263">
        <v>1</v>
      </c>
    </row>
    <row r="264" spans="8:9" x14ac:dyDescent="0.3">
      <c r="H264" s="7" t="s">
        <v>1164</v>
      </c>
      <c r="I264">
        <v>1</v>
      </c>
    </row>
    <row r="265" spans="8:9" x14ac:dyDescent="0.3">
      <c r="H265" s="7" t="s">
        <v>1115</v>
      </c>
      <c r="I265">
        <v>1</v>
      </c>
    </row>
    <row r="266" spans="8:9" x14ac:dyDescent="0.3">
      <c r="H266" s="7" t="s">
        <v>1123</v>
      </c>
      <c r="I266">
        <v>1</v>
      </c>
    </row>
    <row r="267" spans="8:9" x14ac:dyDescent="0.3">
      <c r="H267" s="7" t="s">
        <v>1371</v>
      </c>
      <c r="I267">
        <v>1</v>
      </c>
    </row>
    <row r="268" spans="8:9" x14ac:dyDescent="0.3">
      <c r="H268" s="7" t="s">
        <v>1142</v>
      </c>
      <c r="I268">
        <v>1</v>
      </c>
    </row>
    <row r="269" spans="8:9" x14ac:dyDescent="0.3">
      <c r="H269" s="7" t="s">
        <v>1523</v>
      </c>
      <c r="I269">
        <v>1</v>
      </c>
    </row>
    <row r="270" spans="8:9" x14ac:dyDescent="0.3">
      <c r="H270" s="7" t="s">
        <v>221</v>
      </c>
      <c r="I270">
        <v>1</v>
      </c>
    </row>
    <row r="271" spans="8:9" x14ac:dyDescent="0.3">
      <c r="H271" s="7" t="s">
        <v>1543</v>
      </c>
      <c r="I271">
        <v>1</v>
      </c>
    </row>
    <row r="272" spans="8:9" x14ac:dyDescent="0.3">
      <c r="H272" s="7" t="s">
        <v>1108</v>
      </c>
      <c r="I272">
        <v>1</v>
      </c>
    </row>
    <row r="273" spans="8:9" x14ac:dyDescent="0.3">
      <c r="H273" s="7" t="s">
        <v>1356</v>
      </c>
      <c r="I273">
        <v>1</v>
      </c>
    </row>
    <row r="274" spans="8:9" x14ac:dyDescent="0.3">
      <c r="H274" s="7" t="s">
        <v>1107</v>
      </c>
      <c r="I274">
        <v>1</v>
      </c>
    </row>
    <row r="275" spans="8:9" x14ac:dyDescent="0.3">
      <c r="H275" s="7" t="s">
        <v>1131</v>
      </c>
      <c r="I275">
        <v>1</v>
      </c>
    </row>
    <row r="276" spans="8:9" x14ac:dyDescent="0.3">
      <c r="H276" s="7" t="s">
        <v>1102</v>
      </c>
      <c r="I276">
        <v>1</v>
      </c>
    </row>
    <row r="277" spans="8:9" x14ac:dyDescent="0.3">
      <c r="H277" s="7" t="s">
        <v>1435</v>
      </c>
      <c r="I277">
        <v>1</v>
      </c>
    </row>
    <row r="278" spans="8:9" x14ac:dyDescent="0.3">
      <c r="H278" s="7" t="s">
        <v>1478</v>
      </c>
      <c r="I278">
        <v>1</v>
      </c>
    </row>
    <row r="279" spans="8:9" x14ac:dyDescent="0.3">
      <c r="H279" s="7" t="s">
        <v>1088</v>
      </c>
      <c r="I279">
        <v>1</v>
      </c>
    </row>
    <row r="280" spans="8:9" x14ac:dyDescent="0.3">
      <c r="H280" s="7" t="s">
        <v>1424</v>
      </c>
      <c r="I280">
        <v>1</v>
      </c>
    </row>
    <row r="281" spans="8:9" x14ac:dyDescent="0.3">
      <c r="H281" s="7" t="s">
        <v>1476</v>
      </c>
      <c r="I281">
        <v>1</v>
      </c>
    </row>
    <row r="282" spans="8:9" x14ac:dyDescent="0.3">
      <c r="H282" s="7" t="s">
        <v>1352</v>
      </c>
      <c r="I282">
        <v>1</v>
      </c>
    </row>
    <row r="283" spans="8:9" x14ac:dyDescent="0.3">
      <c r="H283" s="7" t="s">
        <v>1144</v>
      </c>
      <c r="I283">
        <v>1</v>
      </c>
    </row>
    <row r="284" spans="8:9" x14ac:dyDescent="0.3">
      <c r="H284" s="7" t="s">
        <v>1152</v>
      </c>
      <c r="I284">
        <v>1</v>
      </c>
    </row>
    <row r="285" spans="8:9" x14ac:dyDescent="0.3">
      <c r="H285" s="7" t="s">
        <v>1436</v>
      </c>
      <c r="I285">
        <v>1</v>
      </c>
    </row>
    <row r="286" spans="8:9" x14ac:dyDescent="0.3">
      <c r="H286" s="7" t="s">
        <v>1114</v>
      </c>
      <c r="I286">
        <v>1</v>
      </c>
    </row>
    <row r="287" spans="8:9" x14ac:dyDescent="0.3">
      <c r="H287" s="7" t="s">
        <v>1544</v>
      </c>
      <c r="I287">
        <v>1</v>
      </c>
    </row>
    <row r="288" spans="8:9" x14ac:dyDescent="0.3">
      <c r="H288" s="7" t="s">
        <v>1095</v>
      </c>
      <c r="I288">
        <v>1</v>
      </c>
    </row>
    <row r="289" spans="8:9" x14ac:dyDescent="0.3">
      <c r="H289" s="7" t="s">
        <v>1160</v>
      </c>
      <c r="I289">
        <v>1</v>
      </c>
    </row>
    <row r="290" spans="8:9" x14ac:dyDescent="0.3">
      <c r="H290" s="7" t="s">
        <v>1375</v>
      </c>
      <c r="I290">
        <v>1</v>
      </c>
    </row>
    <row r="291" spans="8:9" x14ac:dyDescent="0.3">
      <c r="H291" s="7" t="s">
        <v>1359</v>
      </c>
      <c r="I291">
        <v>1</v>
      </c>
    </row>
    <row r="292" spans="8:9" x14ac:dyDescent="0.3">
      <c r="H292" s="7" t="s">
        <v>1136</v>
      </c>
      <c r="I292">
        <v>1</v>
      </c>
    </row>
    <row r="293" spans="8:9" x14ac:dyDescent="0.3">
      <c r="H293" s="7" t="s">
        <v>1360</v>
      </c>
      <c r="I293">
        <v>1</v>
      </c>
    </row>
    <row r="294" spans="8:9" x14ac:dyDescent="0.3">
      <c r="H294" s="7" t="s">
        <v>1169</v>
      </c>
      <c r="I294">
        <v>1</v>
      </c>
    </row>
    <row r="295" spans="8:9" x14ac:dyDescent="0.3">
      <c r="H295" s="7" t="s">
        <v>224</v>
      </c>
      <c r="I295">
        <v>1</v>
      </c>
    </row>
    <row r="296" spans="8:9" x14ac:dyDescent="0.3">
      <c r="H296" s="7" t="s">
        <v>1092</v>
      </c>
      <c r="I296">
        <v>1</v>
      </c>
    </row>
    <row r="297" spans="8:9" x14ac:dyDescent="0.3">
      <c r="H297" s="7" t="s">
        <v>1437</v>
      </c>
      <c r="I297">
        <v>1</v>
      </c>
    </row>
    <row r="298" spans="8:9" x14ac:dyDescent="0.3">
      <c r="H298" s="7" t="s">
        <v>1372</v>
      </c>
      <c r="I298">
        <v>1</v>
      </c>
    </row>
    <row r="299" spans="8:9" x14ac:dyDescent="0.3">
      <c r="H299" s="7" t="s">
        <v>1374</v>
      </c>
      <c r="I299">
        <v>1</v>
      </c>
    </row>
    <row r="300" spans="8:9" x14ac:dyDescent="0.3">
      <c r="H300" s="7" t="s">
        <v>1106</v>
      </c>
      <c r="I300">
        <v>1</v>
      </c>
    </row>
    <row r="301" spans="8:9" x14ac:dyDescent="0.3">
      <c r="H301" s="7" t="s">
        <v>1089</v>
      </c>
      <c r="I301">
        <v>1</v>
      </c>
    </row>
    <row r="302" spans="8:9" x14ac:dyDescent="0.3">
      <c r="H302" s="7" t="s">
        <v>226</v>
      </c>
      <c r="I302">
        <v>1</v>
      </c>
    </row>
    <row r="303" spans="8:9" x14ac:dyDescent="0.3">
      <c r="H303" s="7" t="s">
        <v>1526</v>
      </c>
      <c r="I303">
        <v>1</v>
      </c>
    </row>
    <row r="304" spans="8:9" x14ac:dyDescent="0.3">
      <c r="H304" s="7" t="s">
        <v>1162</v>
      </c>
      <c r="I304">
        <v>1</v>
      </c>
    </row>
    <row r="305" spans="8:9" x14ac:dyDescent="0.3">
      <c r="H305" s="7" t="s">
        <v>1350</v>
      </c>
      <c r="I305">
        <v>1</v>
      </c>
    </row>
    <row r="306" spans="8:9" x14ac:dyDescent="0.3">
      <c r="H306" s="7" t="s">
        <v>1377</v>
      </c>
      <c r="I306">
        <v>1</v>
      </c>
    </row>
    <row r="307" spans="8:9" x14ac:dyDescent="0.3">
      <c r="H307" s="7" t="s">
        <v>1519</v>
      </c>
      <c r="I307">
        <v>1</v>
      </c>
    </row>
    <row r="308" spans="8:9" x14ac:dyDescent="0.3">
      <c r="H308" s="7" t="s">
        <v>227</v>
      </c>
      <c r="I308">
        <v>1</v>
      </c>
    </row>
    <row r="309" spans="8:9" x14ac:dyDescent="0.3">
      <c r="H309" s="7" t="s">
        <v>1485</v>
      </c>
      <c r="I309">
        <v>1</v>
      </c>
    </row>
    <row r="310" spans="8:9" x14ac:dyDescent="0.3">
      <c r="H310" s="7" t="s">
        <v>1084</v>
      </c>
      <c r="I310">
        <v>1</v>
      </c>
    </row>
    <row r="311" spans="8:9" x14ac:dyDescent="0.3">
      <c r="H311" s="7" t="s">
        <v>1373</v>
      </c>
      <c r="I311">
        <v>1</v>
      </c>
    </row>
    <row r="312" spans="8:9" x14ac:dyDescent="0.3">
      <c r="H312" s="7" t="s">
        <v>1134</v>
      </c>
      <c r="I312">
        <v>1</v>
      </c>
    </row>
    <row r="313" spans="8:9" x14ac:dyDescent="0.3">
      <c r="H313" s="7" t="s">
        <v>229</v>
      </c>
      <c r="I313">
        <v>1</v>
      </c>
    </row>
    <row r="314" spans="8:9" x14ac:dyDescent="0.3">
      <c r="H314" s="7" t="s">
        <v>1358</v>
      </c>
      <c r="I314">
        <v>1</v>
      </c>
    </row>
    <row r="315" spans="8:9" x14ac:dyDescent="0.3">
      <c r="H315" s="7" t="s">
        <v>1423</v>
      </c>
      <c r="I315">
        <v>1</v>
      </c>
    </row>
    <row r="316" spans="8:9" x14ac:dyDescent="0.3">
      <c r="H316" s="7" t="s">
        <v>1369</v>
      </c>
      <c r="I316">
        <v>1</v>
      </c>
    </row>
    <row r="317" spans="8:9" x14ac:dyDescent="0.3">
      <c r="H317" s="7" t="s">
        <v>1096</v>
      </c>
      <c r="I317">
        <v>1</v>
      </c>
    </row>
    <row r="318" spans="8:9" x14ac:dyDescent="0.3">
      <c r="H318" s="7" t="s">
        <v>1159</v>
      </c>
      <c r="I318">
        <v>1</v>
      </c>
    </row>
    <row r="319" spans="8:9" x14ac:dyDescent="0.3">
      <c r="H319" s="7" t="s">
        <v>1103</v>
      </c>
      <c r="I319">
        <v>1</v>
      </c>
    </row>
    <row r="320" spans="8:9" x14ac:dyDescent="0.3">
      <c r="H320" s="7" t="s">
        <v>89</v>
      </c>
      <c r="I320">
        <v>1</v>
      </c>
    </row>
    <row r="321" spans="8:9" x14ac:dyDescent="0.3">
      <c r="H321" s="7" t="s">
        <v>1087</v>
      </c>
      <c r="I321">
        <v>1</v>
      </c>
    </row>
    <row r="322" spans="8:9" x14ac:dyDescent="0.3">
      <c r="H322" s="7" t="s">
        <v>1362</v>
      </c>
      <c r="I322">
        <v>1</v>
      </c>
    </row>
    <row r="323" spans="8:9" x14ac:dyDescent="0.3">
      <c r="H323" s="7" t="s">
        <v>233</v>
      </c>
      <c r="I323">
        <v>1</v>
      </c>
    </row>
    <row r="324" spans="8:9" x14ac:dyDescent="0.3">
      <c r="H324" s="7" t="s">
        <v>1145</v>
      </c>
      <c r="I324">
        <v>1</v>
      </c>
    </row>
    <row r="325" spans="8:9" x14ac:dyDescent="0.3">
      <c r="H325" s="7" t="s">
        <v>1119</v>
      </c>
      <c r="I325">
        <v>1</v>
      </c>
    </row>
    <row r="326" spans="8:9" x14ac:dyDescent="0.3">
      <c r="H326" s="7" t="s">
        <v>1168</v>
      </c>
      <c r="I326">
        <v>1</v>
      </c>
    </row>
    <row r="327" spans="8:9" x14ac:dyDescent="0.3">
      <c r="H327" s="7" t="s">
        <v>1474</v>
      </c>
      <c r="I327">
        <v>1</v>
      </c>
    </row>
    <row r="328" spans="8:9" x14ac:dyDescent="0.3">
      <c r="H328" s="7" t="s">
        <v>1477</v>
      </c>
      <c r="I328">
        <v>1</v>
      </c>
    </row>
    <row r="329" spans="8:9" x14ac:dyDescent="0.3">
      <c r="H329" s="7" t="s">
        <v>234</v>
      </c>
      <c r="I329">
        <v>1</v>
      </c>
    </row>
    <row r="330" spans="8:9" x14ac:dyDescent="0.3">
      <c r="H330" s="7" t="s">
        <v>1165</v>
      </c>
      <c r="I330">
        <v>1</v>
      </c>
    </row>
    <row r="331" spans="8:9" x14ac:dyDescent="0.3">
      <c r="H331" s="7" t="s">
        <v>1093</v>
      </c>
      <c r="I331">
        <v>1</v>
      </c>
    </row>
    <row r="332" spans="8:9" x14ac:dyDescent="0.3">
      <c r="H332" s="7" t="s">
        <v>1431</v>
      </c>
      <c r="I332">
        <v>1</v>
      </c>
    </row>
    <row r="333" spans="8:9" x14ac:dyDescent="0.3">
      <c r="H333" s="7" t="s">
        <v>1439</v>
      </c>
      <c r="I333">
        <v>1</v>
      </c>
    </row>
    <row r="334" spans="8:9" x14ac:dyDescent="0.3">
      <c r="H334" s="7" t="s">
        <v>1354</v>
      </c>
      <c r="I334">
        <v>1</v>
      </c>
    </row>
    <row r="335" spans="8:9" x14ac:dyDescent="0.3">
      <c r="H335" s="7" t="s">
        <v>1156</v>
      </c>
      <c r="I335">
        <v>1</v>
      </c>
    </row>
    <row r="336" spans="8:9" x14ac:dyDescent="0.3">
      <c r="H336" s="7" t="s">
        <v>1157</v>
      </c>
      <c r="I336">
        <v>1</v>
      </c>
    </row>
    <row r="337" spans="8:9" x14ac:dyDescent="0.3">
      <c r="H337" s="7" t="s">
        <v>1176</v>
      </c>
      <c r="I337">
        <v>1</v>
      </c>
    </row>
    <row r="338" spans="8:9" x14ac:dyDescent="0.3">
      <c r="H338" s="7" t="s">
        <v>1139</v>
      </c>
      <c r="I338">
        <v>1</v>
      </c>
    </row>
    <row r="339" spans="8:9" x14ac:dyDescent="0.3">
      <c r="H339" s="7" t="s">
        <v>1122</v>
      </c>
      <c r="I339">
        <v>1</v>
      </c>
    </row>
    <row r="340" spans="8:9" x14ac:dyDescent="0.3">
      <c r="H340" s="7" t="s">
        <v>1148</v>
      </c>
      <c r="I340">
        <v>1</v>
      </c>
    </row>
    <row r="341" spans="8:9" x14ac:dyDescent="0.3">
      <c r="H341" s="7" t="s">
        <v>1158</v>
      </c>
      <c r="I341">
        <v>1</v>
      </c>
    </row>
    <row r="342" spans="8:9" x14ac:dyDescent="0.3">
      <c r="H342" s="7" t="s">
        <v>1175</v>
      </c>
      <c r="I342">
        <v>1</v>
      </c>
    </row>
    <row r="343" spans="8:9" x14ac:dyDescent="0.3">
      <c r="H343" s="7" t="s">
        <v>238</v>
      </c>
      <c r="I343">
        <v>1</v>
      </c>
    </row>
    <row r="344" spans="8:9" x14ac:dyDescent="0.3">
      <c r="H344" s="7" t="s">
        <v>241</v>
      </c>
      <c r="I344">
        <v>1</v>
      </c>
    </row>
    <row r="345" spans="8:9" x14ac:dyDescent="0.3">
      <c r="H345" s="7" t="s">
        <v>243</v>
      </c>
      <c r="I345">
        <v>1</v>
      </c>
    </row>
    <row r="346" spans="8:9" x14ac:dyDescent="0.3">
      <c r="H346" s="7" t="s">
        <v>249</v>
      </c>
      <c r="I346">
        <v>1</v>
      </c>
    </row>
    <row r="347" spans="8:9" x14ac:dyDescent="0.3">
      <c r="H347" s="7" t="s">
        <v>251</v>
      </c>
      <c r="I347">
        <v>1</v>
      </c>
    </row>
    <row r="348" spans="8:9" x14ac:dyDescent="0.3">
      <c r="H348" s="7" t="s">
        <v>94</v>
      </c>
      <c r="I348">
        <v>1</v>
      </c>
    </row>
    <row r="349" spans="8:9" x14ac:dyDescent="0.3">
      <c r="H349" s="7" t="s">
        <v>252</v>
      </c>
      <c r="I349">
        <v>1</v>
      </c>
    </row>
    <row r="350" spans="8:9" x14ac:dyDescent="0.3">
      <c r="H350" s="7" t="s">
        <v>255</v>
      </c>
      <c r="I350">
        <v>1</v>
      </c>
    </row>
    <row r="351" spans="8:9" x14ac:dyDescent="0.3">
      <c r="H351" s="7" t="s">
        <v>258</v>
      </c>
      <c r="I351">
        <v>1</v>
      </c>
    </row>
    <row r="352" spans="8:9" x14ac:dyDescent="0.3">
      <c r="H352" s="7" t="s">
        <v>259</v>
      </c>
      <c r="I352">
        <v>1</v>
      </c>
    </row>
    <row r="353" spans="8:9" x14ac:dyDescent="0.3">
      <c r="H353" s="7" t="s">
        <v>262</v>
      </c>
      <c r="I353">
        <v>1</v>
      </c>
    </row>
    <row r="354" spans="8:9" x14ac:dyDescent="0.3">
      <c r="H354" s="7" t="s">
        <v>263</v>
      </c>
      <c r="I354">
        <v>1</v>
      </c>
    </row>
    <row r="355" spans="8:9" x14ac:dyDescent="0.3">
      <c r="H355" s="7" t="s">
        <v>264</v>
      </c>
      <c r="I355">
        <v>1</v>
      </c>
    </row>
    <row r="356" spans="8:9" x14ac:dyDescent="0.3">
      <c r="H356" s="7" t="s">
        <v>265</v>
      </c>
      <c r="I356">
        <v>1</v>
      </c>
    </row>
    <row r="357" spans="8:9" x14ac:dyDescent="0.3">
      <c r="H357" s="7" t="s">
        <v>266</v>
      </c>
      <c r="I357">
        <v>1</v>
      </c>
    </row>
    <row r="358" spans="8:9" x14ac:dyDescent="0.3">
      <c r="H358" s="7" t="s">
        <v>268</v>
      </c>
      <c r="I358">
        <v>1</v>
      </c>
    </row>
    <row r="359" spans="8:9" x14ac:dyDescent="0.3">
      <c r="H359" s="7" t="s">
        <v>269</v>
      </c>
      <c r="I359">
        <v>1</v>
      </c>
    </row>
    <row r="360" spans="8:9" x14ac:dyDescent="0.3">
      <c r="H360" s="7" t="s">
        <v>270</v>
      </c>
      <c r="I360">
        <v>1</v>
      </c>
    </row>
    <row r="361" spans="8:9" x14ac:dyDescent="0.3">
      <c r="H361" s="7" t="s">
        <v>273</v>
      </c>
      <c r="I361">
        <v>1</v>
      </c>
    </row>
    <row r="362" spans="8:9" x14ac:dyDescent="0.3">
      <c r="H362" s="7" t="s">
        <v>97</v>
      </c>
      <c r="I362">
        <v>1</v>
      </c>
    </row>
    <row r="363" spans="8:9" x14ac:dyDescent="0.3">
      <c r="H363" s="7" t="s">
        <v>275</v>
      </c>
      <c r="I363">
        <v>1</v>
      </c>
    </row>
    <row r="364" spans="8:9" x14ac:dyDescent="0.3">
      <c r="H364" s="7" t="s">
        <v>280</v>
      </c>
      <c r="I364">
        <v>1</v>
      </c>
    </row>
    <row r="365" spans="8:9" x14ac:dyDescent="0.3">
      <c r="H365" s="7" t="s">
        <v>281</v>
      </c>
      <c r="I365">
        <v>1</v>
      </c>
    </row>
    <row r="366" spans="8:9" x14ac:dyDescent="0.3">
      <c r="H366" s="7" t="s">
        <v>100</v>
      </c>
      <c r="I366">
        <v>1</v>
      </c>
    </row>
    <row r="367" spans="8:9" x14ac:dyDescent="0.3">
      <c r="H367" s="7" t="s">
        <v>289</v>
      </c>
      <c r="I367">
        <v>1</v>
      </c>
    </row>
    <row r="368" spans="8:9" x14ac:dyDescent="0.3">
      <c r="H368" s="7" t="s">
        <v>291</v>
      </c>
      <c r="I368">
        <v>1</v>
      </c>
    </row>
    <row r="369" spans="8:9" x14ac:dyDescent="0.3">
      <c r="H369" s="7" t="s">
        <v>296</v>
      </c>
      <c r="I369">
        <v>1</v>
      </c>
    </row>
    <row r="370" spans="8:9" x14ac:dyDescent="0.3">
      <c r="H370" s="7" t="s">
        <v>298</v>
      </c>
      <c r="I370">
        <v>1</v>
      </c>
    </row>
    <row r="371" spans="8:9" x14ac:dyDescent="0.3">
      <c r="H371" s="7" t="s">
        <v>299</v>
      </c>
      <c r="I371">
        <v>1</v>
      </c>
    </row>
    <row r="372" spans="8:9" x14ac:dyDescent="0.3">
      <c r="H372" s="7" t="s">
        <v>300</v>
      </c>
      <c r="I372">
        <v>1</v>
      </c>
    </row>
    <row r="373" spans="8:9" x14ac:dyDescent="0.3">
      <c r="H373" s="7" t="s">
        <v>302</v>
      </c>
      <c r="I373">
        <v>1</v>
      </c>
    </row>
    <row r="374" spans="8:9" x14ac:dyDescent="0.3">
      <c r="H374" s="7" t="s">
        <v>303</v>
      </c>
      <c r="I374">
        <v>1</v>
      </c>
    </row>
    <row r="375" spans="8:9" x14ac:dyDescent="0.3">
      <c r="H375" s="7" t="s">
        <v>305</v>
      </c>
      <c r="I375">
        <v>1</v>
      </c>
    </row>
    <row r="376" spans="8:9" x14ac:dyDescent="0.3">
      <c r="H376" s="7" t="s">
        <v>311</v>
      </c>
      <c r="I376">
        <v>1</v>
      </c>
    </row>
    <row r="377" spans="8:9" x14ac:dyDescent="0.3">
      <c r="H377" s="7" t="s">
        <v>312</v>
      </c>
      <c r="I377">
        <v>1</v>
      </c>
    </row>
    <row r="378" spans="8:9" x14ac:dyDescent="0.3">
      <c r="H378" s="7" t="s">
        <v>314</v>
      </c>
      <c r="I378">
        <v>1</v>
      </c>
    </row>
    <row r="379" spans="8:9" x14ac:dyDescent="0.3">
      <c r="H379" s="7" t="s">
        <v>104</v>
      </c>
      <c r="I379">
        <v>1</v>
      </c>
    </row>
    <row r="380" spans="8:9" x14ac:dyDescent="0.3">
      <c r="H380" s="7" t="s">
        <v>317</v>
      </c>
      <c r="I380">
        <v>1</v>
      </c>
    </row>
    <row r="381" spans="8:9" x14ac:dyDescent="0.3">
      <c r="H381" s="7" t="s">
        <v>319</v>
      </c>
      <c r="I381">
        <v>1</v>
      </c>
    </row>
    <row r="382" spans="8:9" x14ac:dyDescent="0.3">
      <c r="H382" s="7" t="s">
        <v>320</v>
      </c>
      <c r="I382">
        <v>1</v>
      </c>
    </row>
    <row r="383" spans="8:9" x14ac:dyDescent="0.3">
      <c r="H383" s="7" t="s">
        <v>105</v>
      </c>
      <c r="I383">
        <v>1</v>
      </c>
    </row>
    <row r="384" spans="8:9" x14ac:dyDescent="0.3">
      <c r="H384" s="7" t="s">
        <v>322</v>
      </c>
      <c r="I384">
        <v>1</v>
      </c>
    </row>
    <row r="385" spans="8:9" x14ac:dyDescent="0.3">
      <c r="H385" s="7" t="s">
        <v>324</v>
      </c>
      <c r="I385">
        <v>1</v>
      </c>
    </row>
    <row r="386" spans="8:9" x14ac:dyDescent="0.3">
      <c r="H386" s="7" t="s">
        <v>330</v>
      </c>
      <c r="I386">
        <v>1</v>
      </c>
    </row>
    <row r="387" spans="8:9" x14ac:dyDescent="0.3">
      <c r="H387" s="7" t="s">
        <v>332</v>
      </c>
      <c r="I387">
        <v>1</v>
      </c>
    </row>
    <row r="388" spans="8:9" x14ac:dyDescent="0.3">
      <c r="H388" s="7" t="s">
        <v>335</v>
      </c>
      <c r="I388">
        <v>1</v>
      </c>
    </row>
    <row r="389" spans="8:9" x14ac:dyDescent="0.3">
      <c r="H389" s="7" t="s">
        <v>337</v>
      </c>
      <c r="I389">
        <v>1</v>
      </c>
    </row>
    <row r="390" spans="8:9" x14ac:dyDescent="0.3">
      <c r="H390" s="7" t="s">
        <v>339</v>
      </c>
      <c r="I390">
        <v>1</v>
      </c>
    </row>
    <row r="391" spans="8:9" x14ac:dyDescent="0.3">
      <c r="H391" s="7" t="s">
        <v>340</v>
      </c>
      <c r="I391">
        <v>1</v>
      </c>
    </row>
    <row r="392" spans="8:9" x14ac:dyDescent="0.3">
      <c r="H392" s="7" t="s">
        <v>108</v>
      </c>
      <c r="I392">
        <v>1</v>
      </c>
    </row>
    <row r="393" spans="8:9" x14ac:dyDescent="0.3">
      <c r="H393" s="7" t="s">
        <v>347</v>
      </c>
      <c r="I393">
        <v>1</v>
      </c>
    </row>
    <row r="394" spans="8:9" x14ac:dyDescent="0.3">
      <c r="H394" s="7" t="s">
        <v>109</v>
      </c>
      <c r="I394">
        <v>1</v>
      </c>
    </row>
    <row r="395" spans="8:9" x14ac:dyDescent="0.3">
      <c r="H395" s="7" t="s">
        <v>359</v>
      </c>
      <c r="I395">
        <v>1</v>
      </c>
    </row>
    <row r="396" spans="8:9" x14ac:dyDescent="0.3">
      <c r="H396" s="7" t="s">
        <v>360</v>
      </c>
      <c r="I396">
        <v>1</v>
      </c>
    </row>
    <row r="397" spans="8:9" x14ac:dyDescent="0.3">
      <c r="H397" s="7" t="s">
        <v>361</v>
      </c>
      <c r="I397">
        <v>1</v>
      </c>
    </row>
    <row r="398" spans="8:9" x14ac:dyDescent="0.3">
      <c r="H398" s="7" t="s">
        <v>362</v>
      </c>
      <c r="I398">
        <v>1</v>
      </c>
    </row>
    <row r="399" spans="8:9" x14ac:dyDescent="0.3">
      <c r="H399" s="7" t="s">
        <v>369</v>
      </c>
      <c r="I399">
        <v>1</v>
      </c>
    </row>
    <row r="400" spans="8:9" x14ac:dyDescent="0.3">
      <c r="H400" s="7" t="s">
        <v>373</v>
      </c>
      <c r="I400">
        <v>1</v>
      </c>
    </row>
    <row r="401" spans="8:9" x14ac:dyDescent="0.3">
      <c r="H401" s="7" t="s">
        <v>374</v>
      </c>
      <c r="I401">
        <v>1</v>
      </c>
    </row>
    <row r="402" spans="8:9" x14ac:dyDescent="0.3">
      <c r="H402" s="7" t="s">
        <v>376</v>
      </c>
      <c r="I402">
        <v>1</v>
      </c>
    </row>
    <row r="403" spans="8:9" x14ac:dyDescent="0.3">
      <c r="H403" s="7" t="s">
        <v>379</v>
      </c>
      <c r="I403">
        <v>1</v>
      </c>
    </row>
    <row r="404" spans="8:9" x14ac:dyDescent="0.3">
      <c r="H404" s="7" t="s">
        <v>385</v>
      </c>
      <c r="I404">
        <v>1</v>
      </c>
    </row>
    <row r="405" spans="8:9" x14ac:dyDescent="0.3">
      <c r="H405" s="7" t="s">
        <v>389</v>
      </c>
      <c r="I405">
        <v>1</v>
      </c>
    </row>
    <row r="406" spans="8:9" x14ac:dyDescent="0.3">
      <c r="H406" s="7" t="s">
        <v>391</v>
      </c>
      <c r="I406">
        <v>1</v>
      </c>
    </row>
    <row r="407" spans="8:9" x14ac:dyDescent="0.3">
      <c r="H407" s="7" t="s">
        <v>397</v>
      </c>
      <c r="I407">
        <v>1</v>
      </c>
    </row>
    <row r="408" spans="8:9" x14ac:dyDescent="0.3">
      <c r="H408" s="7" t="s">
        <v>399</v>
      </c>
      <c r="I408">
        <v>1</v>
      </c>
    </row>
    <row r="409" spans="8:9" x14ac:dyDescent="0.3">
      <c r="H409" s="7" t="s">
        <v>400</v>
      </c>
      <c r="I409">
        <v>1</v>
      </c>
    </row>
    <row r="410" spans="8:9" x14ac:dyDescent="0.3">
      <c r="H410" s="7" t="s">
        <v>402</v>
      </c>
      <c r="I410">
        <v>1</v>
      </c>
    </row>
    <row r="411" spans="8:9" x14ac:dyDescent="0.3">
      <c r="H411" s="7" t="s">
        <v>403</v>
      </c>
      <c r="I411">
        <v>1</v>
      </c>
    </row>
    <row r="412" spans="8:9" x14ac:dyDescent="0.3">
      <c r="H412" s="7" t="s">
        <v>406</v>
      </c>
      <c r="I412">
        <v>1</v>
      </c>
    </row>
    <row r="413" spans="8:9" x14ac:dyDescent="0.3">
      <c r="H413" s="7" t="s">
        <v>408</v>
      </c>
      <c r="I413">
        <v>1</v>
      </c>
    </row>
    <row r="414" spans="8:9" x14ac:dyDescent="0.3">
      <c r="H414" s="7" t="s">
        <v>409</v>
      </c>
      <c r="I414">
        <v>1</v>
      </c>
    </row>
    <row r="415" spans="8:9" x14ac:dyDescent="0.3">
      <c r="H415" s="7" t="s">
        <v>411</v>
      </c>
      <c r="I415">
        <v>1</v>
      </c>
    </row>
    <row r="416" spans="8:9" x14ac:dyDescent="0.3">
      <c r="H416" s="7" t="s">
        <v>414</v>
      </c>
      <c r="I416">
        <v>1</v>
      </c>
    </row>
    <row r="417" spans="8:9" x14ac:dyDescent="0.3">
      <c r="H417" s="7" t="s">
        <v>416</v>
      </c>
      <c r="I417">
        <v>1</v>
      </c>
    </row>
    <row r="418" spans="8:9" x14ac:dyDescent="0.3">
      <c r="H418" s="7" t="s">
        <v>417</v>
      </c>
      <c r="I418">
        <v>1</v>
      </c>
    </row>
    <row r="419" spans="8:9" x14ac:dyDescent="0.3">
      <c r="H419" s="7" t="s">
        <v>422</v>
      </c>
      <c r="I419">
        <v>1</v>
      </c>
    </row>
    <row r="420" spans="8:9" x14ac:dyDescent="0.3">
      <c r="H420" s="7" t="s">
        <v>423</v>
      </c>
      <c r="I420">
        <v>1</v>
      </c>
    </row>
    <row r="421" spans="8:9" x14ac:dyDescent="0.3">
      <c r="H421" s="7" t="s">
        <v>116</v>
      </c>
      <c r="I421">
        <v>1</v>
      </c>
    </row>
    <row r="422" spans="8:9" x14ac:dyDescent="0.3">
      <c r="H422" s="7" t="s">
        <v>426</v>
      </c>
      <c r="I422">
        <v>1</v>
      </c>
    </row>
    <row r="423" spans="8:9" x14ac:dyDescent="0.3">
      <c r="H423" s="7" t="s">
        <v>427</v>
      </c>
      <c r="I423">
        <v>1</v>
      </c>
    </row>
    <row r="424" spans="8:9" x14ac:dyDescent="0.3">
      <c r="H424" s="7" t="s">
        <v>432</v>
      </c>
      <c r="I424">
        <v>1</v>
      </c>
    </row>
    <row r="425" spans="8:9" x14ac:dyDescent="0.3">
      <c r="H425" s="7" t="s">
        <v>435</v>
      </c>
      <c r="I425">
        <v>1</v>
      </c>
    </row>
    <row r="426" spans="8:9" x14ac:dyDescent="0.3">
      <c r="H426" s="7" t="s">
        <v>436</v>
      </c>
      <c r="I426">
        <v>1</v>
      </c>
    </row>
    <row r="427" spans="8:9" x14ac:dyDescent="0.3">
      <c r="H427" s="7" t="s">
        <v>438</v>
      </c>
      <c r="I427">
        <v>1</v>
      </c>
    </row>
    <row r="428" spans="8:9" x14ac:dyDescent="0.3">
      <c r="H428" s="7" t="s">
        <v>441</v>
      </c>
      <c r="I428">
        <v>1</v>
      </c>
    </row>
    <row r="429" spans="8:9" x14ac:dyDescent="0.3">
      <c r="H429" s="7" t="s">
        <v>442</v>
      </c>
      <c r="I429">
        <v>1</v>
      </c>
    </row>
    <row r="430" spans="8:9" x14ac:dyDescent="0.3">
      <c r="H430" s="7" t="s">
        <v>445</v>
      </c>
      <c r="I430">
        <v>1</v>
      </c>
    </row>
    <row r="431" spans="8:9" x14ac:dyDescent="0.3">
      <c r="H431" s="7" t="s">
        <v>447</v>
      </c>
      <c r="I431">
        <v>1</v>
      </c>
    </row>
    <row r="432" spans="8:9" x14ac:dyDescent="0.3">
      <c r="H432" s="7" t="s">
        <v>448</v>
      </c>
      <c r="I432">
        <v>1</v>
      </c>
    </row>
    <row r="433" spans="8:9" x14ac:dyDescent="0.3">
      <c r="H433" s="7" t="s">
        <v>449</v>
      </c>
      <c r="I433">
        <v>1</v>
      </c>
    </row>
    <row r="434" spans="8:9" x14ac:dyDescent="0.3">
      <c r="H434" s="7" t="s">
        <v>118</v>
      </c>
      <c r="I434">
        <v>1</v>
      </c>
    </row>
    <row r="435" spans="8:9" x14ac:dyDescent="0.3">
      <c r="H435" s="7" t="s">
        <v>454</v>
      </c>
      <c r="I435">
        <v>1</v>
      </c>
    </row>
    <row r="436" spans="8:9" x14ac:dyDescent="0.3">
      <c r="H436" s="7" t="s">
        <v>70</v>
      </c>
      <c r="I436">
        <v>1</v>
      </c>
    </row>
    <row r="437" spans="8:9" x14ac:dyDescent="0.3">
      <c r="H437" s="7" t="s">
        <v>460</v>
      </c>
      <c r="I437">
        <v>1</v>
      </c>
    </row>
    <row r="438" spans="8:9" x14ac:dyDescent="0.3">
      <c r="H438" s="7" t="s">
        <v>461</v>
      </c>
      <c r="I438">
        <v>1</v>
      </c>
    </row>
    <row r="439" spans="8:9" x14ac:dyDescent="0.3">
      <c r="H439" s="7" t="s">
        <v>463</v>
      </c>
      <c r="I439">
        <v>1</v>
      </c>
    </row>
    <row r="440" spans="8:9" x14ac:dyDescent="0.3">
      <c r="H440" s="7" t="s">
        <v>464</v>
      </c>
      <c r="I440">
        <v>1</v>
      </c>
    </row>
    <row r="441" spans="8:9" x14ac:dyDescent="0.3">
      <c r="H441" s="7" t="s">
        <v>119</v>
      </c>
      <c r="I441">
        <v>1</v>
      </c>
    </row>
    <row r="442" spans="8:9" x14ac:dyDescent="0.3">
      <c r="H442" s="7" t="s">
        <v>467</v>
      </c>
      <c r="I442">
        <v>1</v>
      </c>
    </row>
    <row r="443" spans="8:9" x14ac:dyDescent="0.3">
      <c r="H443" s="7" t="s">
        <v>470</v>
      </c>
      <c r="I443">
        <v>1</v>
      </c>
    </row>
    <row r="444" spans="8:9" x14ac:dyDescent="0.3">
      <c r="H444" s="7" t="s">
        <v>471</v>
      </c>
      <c r="I444">
        <v>1</v>
      </c>
    </row>
    <row r="445" spans="8:9" x14ac:dyDescent="0.3">
      <c r="H445" s="7" t="s">
        <v>472</v>
      </c>
      <c r="I445">
        <v>1</v>
      </c>
    </row>
    <row r="446" spans="8:9" x14ac:dyDescent="0.3">
      <c r="H446" s="7" t="s">
        <v>120</v>
      </c>
      <c r="I446">
        <v>1</v>
      </c>
    </row>
    <row r="447" spans="8:9" x14ac:dyDescent="0.3">
      <c r="H447" s="7" t="s">
        <v>475</v>
      </c>
      <c r="I447">
        <v>1</v>
      </c>
    </row>
    <row r="448" spans="8:9" x14ac:dyDescent="0.3">
      <c r="H448" s="7" t="s">
        <v>477</v>
      </c>
      <c r="I448">
        <v>1</v>
      </c>
    </row>
    <row r="449" spans="8:9" x14ac:dyDescent="0.3">
      <c r="H449" s="7" t="s">
        <v>478</v>
      </c>
      <c r="I449">
        <v>1</v>
      </c>
    </row>
    <row r="450" spans="8:9" x14ac:dyDescent="0.3">
      <c r="H450" s="7" t="s">
        <v>480</v>
      </c>
      <c r="I450">
        <v>1</v>
      </c>
    </row>
    <row r="451" spans="8:9" x14ac:dyDescent="0.3">
      <c r="H451" s="7" t="s">
        <v>481</v>
      </c>
      <c r="I451">
        <v>1</v>
      </c>
    </row>
    <row r="452" spans="8:9" x14ac:dyDescent="0.3">
      <c r="H452" s="7" t="s">
        <v>482</v>
      </c>
      <c r="I452">
        <v>1</v>
      </c>
    </row>
    <row r="453" spans="8:9" x14ac:dyDescent="0.3">
      <c r="H453" s="7" t="s">
        <v>485</v>
      </c>
      <c r="I453">
        <v>1</v>
      </c>
    </row>
    <row r="454" spans="8:9" x14ac:dyDescent="0.3">
      <c r="H454" s="7" t="s">
        <v>486</v>
      </c>
      <c r="I454">
        <v>1</v>
      </c>
    </row>
    <row r="455" spans="8:9" x14ac:dyDescent="0.3">
      <c r="H455" s="7" t="s">
        <v>122</v>
      </c>
      <c r="I455">
        <v>1</v>
      </c>
    </row>
    <row r="456" spans="8:9" x14ac:dyDescent="0.3">
      <c r="H456" s="7" t="s">
        <v>492</v>
      </c>
      <c r="I456">
        <v>1</v>
      </c>
    </row>
    <row r="457" spans="8:9" x14ac:dyDescent="0.3">
      <c r="H457" s="7" t="s">
        <v>493</v>
      </c>
      <c r="I457">
        <v>1</v>
      </c>
    </row>
    <row r="458" spans="8:9" x14ac:dyDescent="0.3">
      <c r="H458" s="7" t="s">
        <v>494</v>
      </c>
      <c r="I458">
        <v>1</v>
      </c>
    </row>
    <row r="459" spans="8:9" x14ac:dyDescent="0.3">
      <c r="H459" s="7" t="s">
        <v>495</v>
      </c>
      <c r="I459">
        <v>1</v>
      </c>
    </row>
    <row r="460" spans="8:9" x14ac:dyDescent="0.3">
      <c r="H460" s="7" t="s">
        <v>496</v>
      </c>
      <c r="I460">
        <v>1</v>
      </c>
    </row>
    <row r="461" spans="8:9" x14ac:dyDescent="0.3">
      <c r="H461" s="7" t="s">
        <v>497</v>
      </c>
      <c r="I461">
        <v>1</v>
      </c>
    </row>
    <row r="462" spans="8:9" x14ac:dyDescent="0.3">
      <c r="H462" s="7" t="s">
        <v>498</v>
      </c>
      <c r="I462">
        <v>1</v>
      </c>
    </row>
    <row r="463" spans="8:9" x14ac:dyDescent="0.3">
      <c r="H463" s="7" t="s">
        <v>499</v>
      </c>
      <c r="I463">
        <v>1</v>
      </c>
    </row>
    <row r="464" spans="8:9" x14ac:dyDescent="0.3">
      <c r="H464" s="7" t="s">
        <v>501</v>
      </c>
      <c r="I464">
        <v>1</v>
      </c>
    </row>
    <row r="465" spans="8:9" x14ac:dyDescent="0.3">
      <c r="H465" s="7" t="s">
        <v>502</v>
      </c>
      <c r="I465">
        <v>1</v>
      </c>
    </row>
    <row r="466" spans="8:9" x14ac:dyDescent="0.3">
      <c r="H466" s="7" t="s">
        <v>505</v>
      </c>
      <c r="I466">
        <v>1</v>
      </c>
    </row>
    <row r="467" spans="8:9" x14ac:dyDescent="0.3">
      <c r="H467" s="7" t="s">
        <v>507</v>
      </c>
      <c r="I467">
        <v>1</v>
      </c>
    </row>
    <row r="468" spans="8:9" x14ac:dyDescent="0.3">
      <c r="H468" s="7" t="s">
        <v>125</v>
      </c>
      <c r="I468">
        <v>1</v>
      </c>
    </row>
    <row r="469" spans="8:9" x14ac:dyDescent="0.3">
      <c r="H469" s="7" t="s">
        <v>510</v>
      </c>
      <c r="I469">
        <v>1</v>
      </c>
    </row>
    <row r="470" spans="8:9" x14ac:dyDescent="0.3">
      <c r="H470" s="7" t="s">
        <v>511</v>
      </c>
      <c r="I470">
        <v>1</v>
      </c>
    </row>
    <row r="471" spans="8:9" x14ac:dyDescent="0.3">
      <c r="H471" s="7" t="s">
        <v>512</v>
      </c>
      <c r="I471">
        <v>1</v>
      </c>
    </row>
    <row r="472" spans="8:9" x14ac:dyDescent="0.3">
      <c r="H472" s="7" t="s">
        <v>515</v>
      </c>
      <c r="I472">
        <v>1</v>
      </c>
    </row>
    <row r="473" spans="8:9" x14ac:dyDescent="0.3">
      <c r="H473" s="7" t="s">
        <v>126</v>
      </c>
      <c r="I473">
        <v>1</v>
      </c>
    </row>
    <row r="474" spans="8:9" x14ac:dyDescent="0.3">
      <c r="H474" s="7" t="s">
        <v>517</v>
      </c>
      <c r="I474">
        <v>1</v>
      </c>
    </row>
    <row r="475" spans="8:9" x14ac:dyDescent="0.3">
      <c r="H475" s="7" t="s">
        <v>524</v>
      </c>
      <c r="I475">
        <v>1</v>
      </c>
    </row>
    <row r="476" spans="8:9" x14ac:dyDescent="0.3">
      <c r="H476" s="7" t="s">
        <v>528</v>
      </c>
      <c r="I476">
        <v>1</v>
      </c>
    </row>
    <row r="477" spans="8:9" x14ac:dyDescent="0.3">
      <c r="H477" s="7" t="s">
        <v>529</v>
      </c>
      <c r="I477">
        <v>1</v>
      </c>
    </row>
    <row r="478" spans="8:9" x14ac:dyDescent="0.3">
      <c r="H478" s="7" t="s">
        <v>532</v>
      </c>
      <c r="I478">
        <v>1</v>
      </c>
    </row>
    <row r="479" spans="8:9" x14ac:dyDescent="0.3">
      <c r="H479" s="7" t="s">
        <v>533</v>
      </c>
      <c r="I479">
        <v>1</v>
      </c>
    </row>
    <row r="480" spans="8:9" x14ac:dyDescent="0.3">
      <c r="H480" s="7" t="s">
        <v>537</v>
      </c>
      <c r="I480">
        <v>1</v>
      </c>
    </row>
    <row r="481" spans="8:9" x14ac:dyDescent="0.3">
      <c r="H481" s="7" t="s">
        <v>539</v>
      </c>
      <c r="I481">
        <v>1</v>
      </c>
    </row>
    <row r="482" spans="8:9" x14ac:dyDescent="0.3">
      <c r="H482" s="7" t="s">
        <v>543</v>
      </c>
      <c r="I482">
        <v>1</v>
      </c>
    </row>
    <row r="483" spans="8:9" x14ac:dyDescent="0.3">
      <c r="H483" s="7" t="s">
        <v>545</v>
      </c>
      <c r="I483">
        <v>1</v>
      </c>
    </row>
    <row r="484" spans="8:9" x14ac:dyDescent="0.3">
      <c r="H484" s="7" t="s">
        <v>548</v>
      </c>
      <c r="I484">
        <v>1</v>
      </c>
    </row>
    <row r="485" spans="8:9" x14ac:dyDescent="0.3">
      <c r="H485" s="7" t="s">
        <v>549</v>
      </c>
      <c r="I485">
        <v>1</v>
      </c>
    </row>
    <row r="486" spans="8:9" x14ac:dyDescent="0.3">
      <c r="H486" s="7" t="s">
        <v>550</v>
      </c>
      <c r="I486">
        <v>1</v>
      </c>
    </row>
    <row r="487" spans="8:9" x14ac:dyDescent="0.3">
      <c r="H487" s="7" t="s">
        <v>555</v>
      </c>
      <c r="I487">
        <v>1</v>
      </c>
    </row>
    <row r="488" spans="8:9" x14ac:dyDescent="0.3">
      <c r="H488" s="7" t="s">
        <v>556</v>
      </c>
      <c r="I488">
        <v>1</v>
      </c>
    </row>
    <row r="489" spans="8:9" x14ac:dyDescent="0.3">
      <c r="H489" s="7" t="s">
        <v>563</v>
      </c>
      <c r="I489">
        <v>1</v>
      </c>
    </row>
    <row r="490" spans="8:9" x14ac:dyDescent="0.3">
      <c r="H490" s="7" t="s">
        <v>569</v>
      </c>
      <c r="I490">
        <v>1</v>
      </c>
    </row>
    <row r="491" spans="8:9" x14ac:dyDescent="0.3">
      <c r="H491" s="7" t="s">
        <v>571</v>
      </c>
      <c r="I491">
        <v>1</v>
      </c>
    </row>
    <row r="492" spans="8:9" x14ac:dyDescent="0.3">
      <c r="H492" s="7" t="s">
        <v>572</v>
      </c>
      <c r="I492">
        <v>1</v>
      </c>
    </row>
    <row r="493" spans="8:9" x14ac:dyDescent="0.3">
      <c r="H493" s="7" t="s">
        <v>574</v>
      </c>
      <c r="I493">
        <v>1</v>
      </c>
    </row>
    <row r="494" spans="8:9" x14ac:dyDescent="0.3">
      <c r="H494" s="7" t="s">
        <v>576</v>
      </c>
      <c r="I494">
        <v>1</v>
      </c>
    </row>
    <row r="495" spans="8:9" x14ac:dyDescent="0.3">
      <c r="H495" s="7" t="s">
        <v>577</v>
      </c>
      <c r="I495">
        <v>1</v>
      </c>
    </row>
    <row r="496" spans="8:9" x14ac:dyDescent="0.3">
      <c r="H496" s="7" t="s">
        <v>578</v>
      </c>
      <c r="I496">
        <v>1</v>
      </c>
    </row>
    <row r="497" spans="8:9" x14ac:dyDescent="0.3">
      <c r="H497" s="7" t="s">
        <v>584</v>
      </c>
      <c r="I497">
        <v>1</v>
      </c>
    </row>
    <row r="498" spans="8:9" x14ac:dyDescent="0.3">
      <c r="H498" s="7" t="s">
        <v>133</v>
      </c>
      <c r="I498">
        <v>1</v>
      </c>
    </row>
    <row r="499" spans="8:9" x14ac:dyDescent="0.3">
      <c r="H499" s="7" t="s">
        <v>585</v>
      </c>
      <c r="I499">
        <v>1</v>
      </c>
    </row>
    <row r="500" spans="8:9" x14ac:dyDescent="0.3">
      <c r="H500" s="7" t="s">
        <v>586</v>
      </c>
      <c r="I500">
        <v>1</v>
      </c>
    </row>
    <row r="501" spans="8:9" x14ac:dyDescent="0.3">
      <c r="H501" s="7" t="s">
        <v>588</v>
      </c>
      <c r="I501">
        <v>1</v>
      </c>
    </row>
    <row r="502" spans="8:9" x14ac:dyDescent="0.3">
      <c r="H502" s="7" t="s">
        <v>589</v>
      </c>
      <c r="I502">
        <v>1</v>
      </c>
    </row>
    <row r="503" spans="8:9" x14ac:dyDescent="0.3">
      <c r="H503" s="7" t="s">
        <v>591</v>
      </c>
      <c r="I503">
        <v>1</v>
      </c>
    </row>
    <row r="504" spans="8:9" x14ac:dyDescent="0.3">
      <c r="H504" s="7" t="s">
        <v>602</v>
      </c>
      <c r="I504">
        <v>1</v>
      </c>
    </row>
    <row r="505" spans="8:9" x14ac:dyDescent="0.3">
      <c r="H505" s="7" t="s">
        <v>605</v>
      </c>
      <c r="I505">
        <v>1</v>
      </c>
    </row>
    <row r="506" spans="8:9" x14ac:dyDescent="0.3">
      <c r="H506" s="7" t="s">
        <v>608</v>
      </c>
      <c r="I506">
        <v>1</v>
      </c>
    </row>
    <row r="507" spans="8:9" x14ac:dyDescent="0.3">
      <c r="H507" s="7" t="s">
        <v>136</v>
      </c>
      <c r="I507">
        <v>1</v>
      </c>
    </row>
    <row r="508" spans="8:9" x14ac:dyDescent="0.3">
      <c r="H508" s="7" t="s">
        <v>609</v>
      </c>
      <c r="I508">
        <v>1</v>
      </c>
    </row>
    <row r="509" spans="8:9" x14ac:dyDescent="0.3">
      <c r="H509" s="7" t="s">
        <v>610</v>
      </c>
      <c r="I509">
        <v>1</v>
      </c>
    </row>
    <row r="510" spans="8:9" x14ac:dyDescent="0.3">
      <c r="H510" s="7" t="s">
        <v>613</v>
      </c>
      <c r="I510">
        <v>1</v>
      </c>
    </row>
    <row r="511" spans="8:9" x14ac:dyDescent="0.3">
      <c r="H511" s="7" t="s">
        <v>614</v>
      </c>
      <c r="I511">
        <v>1</v>
      </c>
    </row>
    <row r="512" spans="8:9" x14ac:dyDescent="0.3">
      <c r="H512" s="7" t="s">
        <v>615</v>
      </c>
      <c r="I512">
        <v>1</v>
      </c>
    </row>
    <row r="513" spans="8:9" x14ac:dyDescent="0.3">
      <c r="H513" s="7" t="s">
        <v>137</v>
      </c>
      <c r="I513">
        <v>1</v>
      </c>
    </row>
    <row r="514" spans="8:9" x14ac:dyDescent="0.3">
      <c r="H514" s="7" t="s">
        <v>624</v>
      </c>
      <c r="I514">
        <v>1</v>
      </c>
    </row>
    <row r="515" spans="8:9" x14ac:dyDescent="0.3">
      <c r="H515" s="7" t="s">
        <v>625</v>
      </c>
      <c r="I515">
        <v>1</v>
      </c>
    </row>
    <row r="516" spans="8:9" x14ac:dyDescent="0.3">
      <c r="H516" s="7" t="s">
        <v>626</v>
      </c>
      <c r="I516">
        <v>1</v>
      </c>
    </row>
    <row r="517" spans="8:9" x14ac:dyDescent="0.3">
      <c r="H517" s="7" t="s">
        <v>628</v>
      </c>
      <c r="I517">
        <v>1</v>
      </c>
    </row>
    <row r="518" spans="8:9" x14ac:dyDescent="0.3">
      <c r="H518" s="7" t="s">
        <v>139</v>
      </c>
      <c r="I518">
        <v>1</v>
      </c>
    </row>
    <row r="519" spans="8:9" x14ac:dyDescent="0.3">
      <c r="H519" s="7" t="s">
        <v>633</v>
      </c>
      <c r="I519">
        <v>1</v>
      </c>
    </row>
    <row r="520" spans="8:9" x14ac:dyDescent="0.3">
      <c r="H520" s="7" t="s">
        <v>635</v>
      </c>
      <c r="I520">
        <v>1</v>
      </c>
    </row>
    <row r="521" spans="8:9" x14ac:dyDescent="0.3">
      <c r="H521" s="7" t="s">
        <v>637</v>
      </c>
      <c r="I521">
        <v>1</v>
      </c>
    </row>
    <row r="522" spans="8:9" x14ac:dyDescent="0.3">
      <c r="H522" s="7" t="s">
        <v>638</v>
      </c>
      <c r="I522">
        <v>1</v>
      </c>
    </row>
    <row r="523" spans="8:9" x14ac:dyDescent="0.3">
      <c r="H523" s="7" t="s">
        <v>641</v>
      </c>
      <c r="I523">
        <v>1</v>
      </c>
    </row>
    <row r="524" spans="8:9" x14ac:dyDescent="0.3">
      <c r="H524" s="7" t="s">
        <v>644</v>
      </c>
      <c r="I524">
        <v>1</v>
      </c>
    </row>
    <row r="525" spans="8:9" x14ac:dyDescent="0.3">
      <c r="H525" s="7" t="s">
        <v>647</v>
      </c>
      <c r="I525">
        <v>1</v>
      </c>
    </row>
    <row r="526" spans="8:9" x14ac:dyDescent="0.3">
      <c r="H526" s="7" t="s">
        <v>650</v>
      </c>
      <c r="I526">
        <v>1</v>
      </c>
    </row>
    <row r="527" spans="8:9" x14ac:dyDescent="0.3">
      <c r="H527" s="7" t="s">
        <v>143</v>
      </c>
      <c r="I527">
        <v>1</v>
      </c>
    </row>
    <row r="528" spans="8:9" x14ac:dyDescent="0.3">
      <c r="H528" s="7" t="s">
        <v>655</v>
      </c>
      <c r="I528">
        <v>1</v>
      </c>
    </row>
    <row r="529" spans="8:9" x14ac:dyDescent="0.3">
      <c r="H529" s="7" t="s">
        <v>656</v>
      </c>
      <c r="I529">
        <v>1</v>
      </c>
    </row>
    <row r="530" spans="8:9" x14ac:dyDescent="0.3">
      <c r="H530" s="7" t="s">
        <v>658</v>
      </c>
      <c r="I530">
        <v>1</v>
      </c>
    </row>
    <row r="531" spans="8:9" x14ac:dyDescent="0.3">
      <c r="H531" s="7" t="s">
        <v>659</v>
      </c>
      <c r="I531">
        <v>1</v>
      </c>
    </row>
    <row r="532" spans="8:9" x14ac:dyDescent="0.3">
      <c r="H532" s="7" t="s">
        <v>144</v>
      </c>
      <c r="I532">
        <v>1</v>
      </c>
    </row>
    <row r="533" spans="8:9" x14ac:dyDescent="0.3">
      <c r="H533" s="7" t="s">
        <v>661</v>
      </c>
      <c r="I533">
        <v>1</v>
      </c>
    </row>
    <row r="534" spans="8:9" x14ac:dyDescent="0.3">
      <c r="H534" s="7" t="s">
        <v>662</v>
      </c>
      <c r="I534">
        <v>1</v>
      </c>
    </row>
    <row r="535" spans="8:9" x14ac:dyDescent="0.3">
      <c r="H535" s="7" t="s">
        <v>663</v>
      </c>
      <c r="I535">
        <v>1</v>
      </c>
    </row>
    <row r="536" spans="8:9" x14ac:dyDescent="0.3">
      <c r="H536" s="7" t="s">
        <v>664</v>
      </c>
      <c r="I536">
        <v>1</v>
      </c>
    </row>
    <row r="537" spans="8:9" x14ac:dyDescent="0.3">
      <c r="H537" s="7" t="s">
        <v>666</v>
      </c>
      <c r="I537">
        <v>1</v>
      </c>
    </row>
    <row r="538" spans="8:9" x14ac:dyDescent="0.3">
      <c r="H538" s="7" t="s">
        <v>667</v>
      </c>
      <c r="I538">
        <v>1</v>
      </c>
    </row>
    <row r="539" spans="8:9" x14ac:dyDescent="0.3">
      <c r="H539" s="7" t="s">
        <v>145</v>
      </c>
      <c r="I539">
        <v>1</v>
      </c>
    </row>
    <row r="540" spans="8:9" x14ac:dyDescent="0.3">
      <c r="H540" s="7" t="s">
        <v>671</v>
      </c>
      <c r="I540">
        <v>1</v>
      </c>
    </row>
    <row r="541" spans="8:9" x14ac:dyDescent="0.3">
      <c r="H541" s="7" t="s">
        <v>673</v>
      </c>
      <c r="I541">
        <v>1</v>
      </c>
    </row>
    <row r="542" spans="8:9" x14ac:dyDescent="0.3">
      <c r="H542" s="7" t="s">
        <v>675</v>
      </c>
      <c r="I542">
        <v>1</v>
      </c>
    </row>
    <row r="543" spans="8:9" x14ac:dyDescent="0.3">
      <c r="H543" s="7" t="s">
        <v>676</v>
      </c>
      <c r="I543">
        <v>1</v>
      </c>
    </row>
    <row r="544" spans="8:9" x14ac:dyDescent="0.3">
      <c r="H544" s="7" t="s">
        <v>677</v>
      </c>
      <c r="I544">
        <v>1</v>
      </c>
    </row>
    <row r="545" spans="8:9" x14ac:dyDescent="0.3">
      <c r="H545" s="7" t="s">
        <v>680</v>
      </c>
      <c r="I545">
        <v>1</v>
      </c>
    </row>
    <row r="546" spans="8:9" x14ac:dyDescent="0.3">
      <c r="H546" s="7" t="s">
        <v>681</v>
      </c>
      <c r="I546">
        <v>1</v>
      </c>
    </row>
    <row r="547" spans="8:9" x14ac:dyDescent="0.3">
      <c r="H547" s="7" t="s">
        <v>146</v>
      </c>
      <c r="I547">
        <v>1</v>
      </c>
    </row>
    <row r="548" spans="8:9" x14ac:dyDescent="0.3">
      <c r="H548" s="7" t="s">
        <v>684</v>
      </c>
      <c r="I548">
        <v>1</v>
      </c>
    </row>
    <row r="549" spans="8:9" x14ac:dyDescent="0.3">
      <c r="H549" s="7" t="s">
        <v>686</v>
      </c>
      <c r="I549">
        <v>1</v>
      </c>
    </row>
    <row r="550" spans="8:9" x14ac:dyDescent="0.3">
      <c r="H550" s="7" t="s">
        <v>687</v>
      </c>
      <c r="I550">
        <v>1</v>
      </c>
    </row>
    <row r="551" spans="8:9" x14ac:dyDescent="0.3">
      <c r="H551" s="7" t="s">
        <v>690</v>
      </c>
      <c r="I551">
        <v>1</v>
      </c>
    </row>
    <row r="552" spans="8:9" x14ac:dyDescent="0.3">
      <c r="H552" s="7" t="s">
        <v>147</v>
      </c>
      <c r="I552">
        <v>1</v>
      </c>
    </row>
    <row r="553" spans="8:9" x14ac:dyDescent="0.3">
      <c r="H553" s="7" t="s">
        <v>691</v>
      </c>
      <c r="I553">
        <v>1</v>
      </c>
    </row>
    <row r="554" spans="8:9" x14ac:dyDescent="0.3">
      <c r="H554" s="7" t="s">
        <v>696</v>
      </c>
      <c r="I554">
        <v>1</v>
      </c>
    </row>
    <row r="555" spans="8:9" x14ac:dyDescent="0.3">
      <c r="H555" s="7" t="s">
        <v>698</v>
      </c>
      <c r="I555">
        <v>1</v>
      </c>
    </row>
    <row r="556" spans="8:9" x14ac:dyDescent="0.3">
      <c r="H556" s="7" t="s">
        <v>700</v>
      </c>
      <c r="I556">
        <v>1</v>
      </c>
    </row>
    <row r="557" spans="8:9" x14ac:dyDescent="0.3">
      <c r="H557" s="7" t="s">
        <v>704</v>
      </c>
      <c r="I557">
        <v>1</v>
      </c>
    </row>
    <row r="558" spans="8:9" x14ac:dyDescent="0.3">
      <c r="H558" s="7" t="s">
        <v>708</v>
      </c>
      <c r="I558">
        <v>1</v>
      </c>
    </row>
    <row r="559" spans="8:9" x14ac:dyDescent="0.3">
      <c r="H559" s="7" t="s">
        <v>710</v>
      </c>
      <c r="I559">
        <v>1</v>
      </c>
    </row>
    <row r="560" spans="8:9" x14ac:dyDescent="0.3">
      <c r="H560" s="7" t="s">
        <v>711</v>
      </c>
      <c r="I560">
        <v>1</v>
      </c>
    </row>
    <row r="561" spans="8:9" x14ac:dyDescent="0.3">
      <c r="H561" s="7" t="s">
        <v>719</v>
      </c>
      <c r="I561">
        <v>1</v>
      </c>
    </row>
    <row r="562" spans="8:9" x14ac:dyDescent="0.3">
      <c r="H562" s="7" t="s">
        <v>720</v>
      </c>
      <c r="I562">
        <v>1</v>
      </c>
    </row>
    <row r="563" spans="8:9" x14ac:dyDescent="0.3">
      <c r="H563" s="7" t="s">
        <v>723</v>
      </c>
      <c r="I563">
        <v>1</v>
      </c>
    </row>
    <row r="564" spans="8:9" x14ac:dyDescent="0.3">
      <c r="H564" s="7" t="s">
        <v>727</v>
      </c>
      <c r="I564">
        <v>1</v>
      </c>
    </row>
    <row r="565" spans="8:9" x14ac:dyDescent="0.3">
      <c r="H565" s="7" t="s">
        <v>729</v>
      </c>
      <c r="I565">
        <v>1</v>
      </c>
    </row>
    <row r="566" spans="8:9" x14ac:dyDescent="0.3">
      <c r="H566" s="7" t="s">
        <v>732</v>
      </c>
      <c r="I566">
        <v>1</v>
      </c>
    </row>
    <row r="567" spans="8:9" x14ac:dyDescent="0.3">
      <c r="H567" s="7" t="s">
        <v>733</v>
      </c>
      <c r="I567">
        <v>1</v>
      </c>
    </row>
    <row r="568" spans="8:9" x14ac:dyDescent="0.3">
      <c r="H568" s="7" t="s">
        <v>734</v>
      </c>
      <c r="I568">
        <v>1</v>
      </c>
    </row>
    <row r="569" spans="8:9" x14ac:dyDescent="0.3">
      <c r="H569" s="7" t="s">
        <v>735</v>
      </c>
      <c r="I569">
        <v>1</v>
      </c>
    </row>
    <row r="570" spans="8:9" x14ac:dyDescent="0.3">
      <c r="H570" s="7" t="s">
        <v>738</v>
      </c>
      <c r="I570">
        <v>1</v>
      </c>
    </row>
    <row r="571" spans="8:9" x14ac:dyDescent="0.3">
      <c r="H571" s="7" t="s">
        <v>152</v>
      </c>
      <c r="I571">
        <v>1</v>
      </c>
    </row>
    <row r="572" spans="8:9" x14ac:dyDescent="0.3">
      <c r="H572" s="7" t="s">
        <v>741</v>
      </c>
      <c r="I572">
        <v>1</v>
      </c>
    </row>
    <row r="573" spans="8:9" x14ac:dyDescent="0.3">
      <c r="H573" s="7" t="s">
        <v>745</v>
      </c>
      <c r="I573">
        <v>1</v>
      </c>
    </row>
    <row r="574" spans="8:9" x14ac:dyDescent="0.3">
      <c r="H574" s="7" t="s">
        <v>746</v>
      </c>
      <c r="I574">
        <v>1</v>
      </c>
    </row>
    <row r="575" spans="8:9" x14ac:dyDescent="0.3">
      <c r="H575" s="7" t="s">
        <v>747</v>
      </c>
      <c r="I575">
        <v>1</v>
      </c>
    </row>
    <row r="576" spans="8:9" x14ac:dyDescent="0.3">
      <c r="H576" s="7" t="s">
        <v>749</v>
      </c>
      <c r="I576">
        <v>1</v>
      </c>
    </row>
    <row r="577" spans="8:9" x14ac:dyDescent="0.3">
      <c r="H577" s="7" t="s">
        <v>750</v>
      </c>
      <c r="I577">
        <v>1</v>
      </c>
    </row>
    <row r="578" spans="8:9" x14ac:dyDescent="0.3">
      <c r="H578" s="7" t="s">
        <v>751</v>
      </c>
      <c r="I578">
        <v>1</v>
      </c>
    </row>
    <row r="579" spans="8:9" x14ac:dyDescent="0.3">
      <c r="H579" s="7" t="s">
        <v>752</v>
      </c>
      <c r="I579">
        <v>1</v>
      </c>
    </row>
    <row r="580" spans="8:9" x14ac:dyDescent="0.3">
      <c r="H580" s="7" t="s">
        <v>754</v>
      </c>
      <c r="I580">
        <v>1</v>
      </c>
    </row>
    <row r="581" spans="8:9" x14ac:dyDescent="0.3">
      <c r="H581" s="7" t="s">
        <v>756</v>
      </c>
      <c r="I581">
        <v>1</v>
      </c>
    </row>
    <row r="582" spans="8:9" x14ac:dyDescent="0.3">
      <c r="H582" s="7" t="s">
        <v>758</v>
      </c>
      <c r="I582">
        <v>1</v>
      </c>
    </row>
    <row r="583" spans="8:9" x14ac:dyDescent="0.3">
      <c r="H583" s="7" t="s">
        <v>760</v>
      </c>
      <c r="I583">
        <v>1</v>
      </c>
    </row>
    <row r="584" spans="8:9" x14ac:dyDescent="0.3">
      <c r="H584" s="7" t="s">
        <v>761</v>
      </c>
      <c r="I584">
        <v>1</v>
      </c>
    </row>
    <row r="585" spans="8:9" x14ac:dyDescent="0.3">
      <c r="H585" s="7" t="s">
        <v>763</v>
      </c>
      <c r="I585">
        <v>1</v>
      </c>
    </row>
    <row r="586" spans="8:9" x14ac:dyDescent="0.3">
      <c r="H586" s="7" t="s">
        <v>765</v>
      </c>
      <c r="I586">
        <v>1</v>
      </c>
    </row>
    <row r="587" spans="8:9" x14ac:dyDescent="0.3">
      <c r="H587" s="7" t="s">
        <v>766</v>
      </c>
      <c r="I587">
        <v>1</v>
      </c>
    </row>
    <row r="588" spans="8:9" x14ac:dyDescent="0.3">
      <c r="H588" s="7" t="s">
        <v>774</v>
      </c>
      <c r="I588">
        <v>1</v>
      </c>
    </row>
    <row r="589" spans="8:9" x14ac:dyDescent="0.3">
      <c r="H589" s="7" t="s">
        <v>776</v>
      </c>
      <c r="I589">
        <v>1</v>
      </c>
    </row>
    <row r="590" spans="8:9" x14ac:dyDescent="0.3">
      <c r="H590" s="7" t="s">
        <v>778</v>
      </c>
      <c r="I590">
        <v>1</v>
      </c>
    </row>
    <row r="591" spans="8:9" x14ac:dyDescent="0.3">
      <c r="H591" s="7" t="s">
        <v>156</v>
      </c>
      <c r="I591">
        <v>1</v>
      </c>
    </row>
    <row r="592" spans="8:9" x14ac:dyDescent="0.3">
      <c r="H592" s="7" t="s">
        <v>781</v>
      </c>
      <c r="I592">
        <v>1</v>
      </c>
    </row>
    <row r="593" spans="8:9" x14ac:dyDescent="0.3">
      <c r="H593" s="7" t="s">
        <v>782</v>
      </c>
      <c r="I593">
        <v>1</v>
      </c>
    </row>
    <row r="594" spans="8:9" x14ac:dyDescent="0.3">
      <c r="H594" s="7" t="s">
        <v>157</v>
      </c>
      <c r="I594">
        <v>1</v>
      </c>
    </row>
    <row r="595" spans="8:9" x14ac:dyDescent="0.3">
      <c r="H595" s="7" t="s">
        <v>787</v>
      </c>
      <c r="I595">
        <v>1</v>
      </c>
    </row>
    <row r="596" spans="8:9" x14ac:dyDescent="0.3">
      <c r="H596" s="7" t="s">
        <v>790</v>
      </c>
      <c r="I596">
        <v>1</v>
      </c>
    </row>
    <row r="597" spans="8:9" x14ac:dyDescent="0.3">
      <c r="H597" s="7" t="s">
        <v>795</v>
      </c>
      <c r="I597">
        <v>1</v>
      </c>
    </row>
    <row r="598" spans="8:9" x14ac:dyDescent="0.3">
      <c r="H598" s="7" t="s">
        <v>796</v>
      </c>
      <c r="I598">
        <v>1</v>
      </c>
    </row>
    <row r="599" spans="8:9" x14ac:dyDescent="0.3">
      <c r="H599" s="7" t="s">
        <v>797</v>
      </c>
      <c r="I599">
        <v>1</v>
      </c>
    </row>
    <row r="600" spans="8:9" x14ac:dyDescent="0.3">
      <c r="H600" s="7" t="s">
        <v>799</v>
      </c>
      <c r="I600">
        <v>1</v>
      </c>
    </row>
    <row r="601" spans="8:9" x14ac:dyDescent="0.3">
      <c r="H601" s="7" t="s">
        <v>1566</v>
      </c>
      <c r="I601">
        <v>588</v>
      </c>
    </row>
  </sheetData>
  <pageMargins left="0.7" right="0.7" top="0.75" bottom="0.75" header="0.3" footer="0.3"/>
  <drawing r:id="rId4"/>
  <tableParts count="2">
    <tablePart r:id="rId5"/>
    <tablePart r:id="rId6"/>
  </tableParts>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F17"/>
  <sheetViews>
    <sheetView workbookViewId="0">
      <selection activeCell="A14" sqref="A14"/>
    </sheetView>
  </sheetViews>
  <sheetFormatPr defaultColWidth="11.19921875" defaultRowHeight="15.6" x14ac:dyDescent="0.3"/>
  <cols>
    <col min="1" max="1" width="23.69921875" bestFit="1" customWidth="1"/>
    <col min="5" max="5" width="12.296875" bestFit="1" customWidth="1"/>
    <col min="6" max="6" width="23.69921875" bestFit="1" customWidth="1"/>
    <col min="18" max="18" width="12.296875" bestFit="1" customWidth="1"/>
    <col min="19" max="19" width="23.69921875" bestFit="1" customWidth="1"/>
  </cols>
  <sheetData>
    <row r="3" spans="1:6" x14ac:dyDescent="0.3">
      <c r="A3" t="s">
        <v>1562</v>
      </c>
    </row>
    <row r="4" spans="1:6" x14ac:dyDescent="0.3">
      <c r="A4" s="4">
        <v>2.6265306122448981</v>
      </c>
    </row>
    <row r="6" spans="1:6" x14ac:dyDescent="0.3">
      <c r="A6" t="s">
        <v>1563</v>
      </c>
      <c r="B6" s="4">
        <f>GETPIVOTDATA("Job Satisfaction",$A$3)</f>
        <v>2.6265306122448981</v>
      </c>
      <c r="C6" s="3">
        <f>B6/4</f>
        <v>0.65663265306122454</v>
      </c>
    </row>
    <row r="7" spans="1:6" x14ac:dyDescent="0.3">
      <c r="A7" s="4" t="s">
        <v>1564</v>
      </c>
      <c r="B7" s="4">
        <f>4-B6</f>
        <v>1.3734693877551019</v>
      </c>
      <c r="C7" s="3">
        <f>B7/4</f>
        <v>0.34336734693877546</v>
      </c>
    </row>
    <row r="11" spans="1:6" x14ac:dyDescent="0.3">
      <c r="E11" s="6" t="s">
        <v>1565</v>
      </c>
      <c r="F11" t="s">
        <v>1562</v>
      </c>
    </row>
    <row r="12" spans="1:6" x14ac:dyDescent="0.3">
      <c r="E12" s="7">
        <v>1</v>
      </c>
      <c r="F12">
        <v>1</v>
      </c>
    </row>
    <row r="13" spans="1:6" ht="18" x14ac:dyDescent="0.35">
      <c r="A13" s="9" t="s">
        <v>1577</v>
      </c>
      <c r="E13" s="7">
        <v>2</v>
      </c>
      <c r="F13">
        <v>2</v>
      </c>
    </row>
    <row r="14" spans="1:6" ht="18" x14ac:dyDescent="0.35">
      <c r="A14" s="8">
        <f>AVERAGE(Table1[Job Satisfaction])</f>
        <v>2.6265306122448981</v>
      </c>
      <c r="E14" s="7">
        <v>3</v>
      </c>
      <c r="F14">
        <v>3</v>
      </c>
    </row>
    <row r="15" spans="1:6" x14ac:dyDescent="0.3">
      <c r="E15" s="7">
        <v>4</v>
      </c>
      <c r="F15">
        <v>4</v>
      </c>
    </row>
    <row r="16" spans="1:6" x14ac:dyDescent="0.3">
      <c r="A16" s="10" t="s">
        <v>1578</v>
      </c>
      <c r="B16" s="11">
        <f>GETPIVOTDATA("AVERAGE OF JOB SATISFACTION",F11)</f>
        <v>2.6265306122448981</v>
      </c>
      <c r="C16" s="12">
        <f>B16/4</f>
        <v>0.65663265306122454</v>
      </c>
      <c r="E16" s="7" t="s">
        <v>1566</v>
      </c>
      <c r="F16">
        <v>2.6265306122448981</v>
      </c>
    </row>
    <row r="17" spans="1:3" x14ac:dyDescent="0.3">
      <c r="A17" s="10" t="s">
        <v>1579</v>
      </c>
      <c r="B17" s="11">
        <f>4-B16</f>
        <v>1.3734693877551019</v>
      </c>
      <c r="C17" s="12">
        <f>B17/4</f>
        <v>0.34336734693877546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2:W17"/>
  <sheetViews>
    <sheetView topLeftCell="A19" zoomScaleNormal="100" workbookViewId="0">
      <selection activeCell="AC26" sqref="AC26"/>
    </sheetView>
  </sheetViews>
  <sheetFormatPr defaultColWidth="11.19921875" defaultRowHeight="15.6" x14ac:dyDescent="0.3"/>
  <cols>
    <col min="1" max="1" width="12.296875" bestFit="1" customWidth="1"/>
    <col min="2" max="2" width="24.5" bestFit="1" customWidth="1"/>
    <col min="3" max="3" width="12.19921875" bestFit="1" customWidth="1"/>
    <col min="4" max="7" width="2.19921875" bestFit="1" customWidth="1"/>
    <col min="8" max="11" width="3.19921875" bestFit="1" customWidth="1"/>
    <col min="12" max="12" width="3.296875" customWidth="1"/>
    <col min="13" max="20" width="3.19921875" bestFit="1" customWidth="1"/>
    <col min="21" max="21" width="10.8984375" bestFit="1" customWidth="1"/>
    <col min="22" max="22" width="31.5" bestFit="1" customWidth="1"/>
    <col min="23" max="23" width="7.296875" bestFit="1" customWidth="1"/>
    <col min="24" max="77" width="3.19921875" bestFit="1" customWidth="1"/>
    <col min="78" max="718" width="4.19921875" bestFit="1" customWidth="1"/>
    <col min="719" max="1471" width="5.19921875" bestFit="1" customWidth="1"/>
  </cols>
  <sheetData>
    <row r="2" spans="1:23" x14ac:dyDescent="0.3">
      <c r="U2" s="6" t="s">
        <v>1581</v>
      </c>
      <c r="V2" t="s">
        <v>1580</v>
      </c>
    </row>
    <row r="3" spans="1:23" x14ac:dyDescent="0.3">
      <c r="A3" s="6" t="s">
        <v>1565</v>
      </c>
      <c r="B3" t="s">
        <v>1554</v>
      </c>
      <c r="U3" s="7" t="s">
        <v>51</v>
      </c>
      <c r="V3">
        <v>588</v>
      </c>
    </row>
    <row r="4" spans="1:23" x14ac:dyDescent="0.3">
      <c r="A4" s="7" t="s">
        <v>51</v>
      </c>
      <c r="B4">
        <v>588</v>
      </c>
      <c r="U4" s="7" t="s">
        <v>62</v>
      </c>
      <c r="V4">
        <v>882</v>
      </c>
    </row>
    <row r="5" spans="1:23" x14ac:dyDescent="0.3">
      <c r="A5" s="7" t="s">
        <v>62</v>
      </c>
      <c r="B5">
        <v>882</v>
      </c>
      <c r="U5" s="7" t="s">
        <v>1566</v>
      </c>
      <c r="V5">
        <v>1470</v>
      </c>
    </row>
    <row r="6" spans="1:23" x14ac:dyDescent="0.3">
      <c r="A6" s="7" t="s">
        <v>1566</v>
      </c>
      <c r="B6">
        <v>1470</v>
      </c>
    </row>
    <row r="8" spans="1:23" x14ac:dyDescent="0.3">
      <c r="U8" s="7" t="s">
        <v>1582</v>
      </c>
      <c r="V8">
        <f>GETPIVOTDATA("COUNT OF NUMBER OF EMPLOYEES",V2,"GENDER","FEMALE")</f>
        <v>588</v>
      </c>
      <c r="W8" s="2">
        <f>V8/(V8+V9)</f>
        <v>0.4</v>
      </c>
    </row>
    <row r="9" spans="1:23" x14ac:dyDescent="0.3">
      <c r="U9" s="7" t="s">
        <v>1583</v>
      </c>
      <c r="V9">
        <f>GETPIVOTDATA("COUNT OF NUMBER OF EMPLOYEES",V2,"GENDER","MALE")</f>
        <v>882</v>
      </c>
      <c r="W9" s="2">
        <f>V9/(V8+V9)</f>
        <v>0.6</v>
      </c>
    </row>
    <row r="11" spans="1:23" x14ac:dyDescent="0.3">
      <c r="A11" t="s">
        <v>51</v>
      </c>
      <c r="B11">
        <f>IFERROR(GETPIVOTDATA("Employee Number",$A$3,"Gender","Female"),0)</f>
        <v>588</v>
      </c>
      <c r="C11" s="2">
        <f>IFERROR(B11/($B$11+$B$12),0)</f>
        <v>0.4</v>
      </c>
    </row>
    <row r="12" spans="1:23" x14ac:dyDescent="0.3">
      <c r="A12" t="s">
        <v>62</v>
      </c>
      <c r="B12">
        <f>IFERROR(GETPIVOTDATA("Employee Number",$A$3,"Gender","Male"),0)</f>
        <v>882</v>
      </c>
      <c r="C12" s="2">
        <f>IFERROR(B12/($B$11+$B$12),0)</f>
        <v>0.6</v>
      </c>
    </row>
    <row r="13" spans="1:23" x14ac:dyDescent="0.3">
      <c r="C13" s="3"/>
    </row>
    <row r="16" spans="1:23" x14ac:dyDescent="0.3">
      <c r="C16" s="3"/>
    </row>
    <row r="17" spans="3:3" x14ac:dyDescent="0.3">
      <c r="C17" s="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1:N9"/>
  <sheetViews>
    <sheetView topLeftCell="G10" workbookViewId="0">
      <selection activeCell="K11" sqref="K11"/>
    </sheetView>
  </sheetViews>
  <sheetFormatPr defaultColWidth="11.19921875" defaultRowHeight="15.6" x14ac:dyDescent="0.3"/>
  <cols>
    <col min="1" max="1" width="16" bestFit="1" customWidth="1"/>
    <col min="2" max="2" width="22.796875" bestFit="1" customWidth="1"/>
    <col min="3" max="3" width="22.5" bestFit="1" customWidth="1"/>
    <col min="13" max="13" width="16" bestFit="1" customWidth="1"/>
    <col min="14" max="14" width="22.796875" bestFit="1" customWidth="1"/>
    <col min="15" max="15" width="16" bestFit="1" customWidth="1"/>
    <col min="16" max="16" width="22.796875" bestFit="1" customWidth="1"/>
  </cols>
  <sheetData>
    <row r="1" spans="1:14" x14ac:dyDescent="0.3">
      <c r="M1" s="6" t="s">
        <v>1584</v>
      </c>
      <c r="N1" t="s">
        <v>1555</v>
      </c>
    </row>
    <row r="2" spans="1:14" x14ac:dyDescent="0.3">
      <c r="M2" s="7" t="s">
        <v>134</v>
      </c>
      <c r="N2">
        <v>5</v>
      </c>
    </row>
    <row r="3" spans="1:14" x14ac:dyDescent="0.3">
      <c r="A3" s="6" t="s">
        <v>1565</v>
      </c>
      <c r="B3" t="s">
        <v>1555</v>
      </c>
      <c r="M3" s="7" t="s">
        <v>65</v>
      </c>
      <c r="N3">
        <v>31</v>
      </c>
    </row>
    <row r="4" spans="1:14" x14ac:dyDescent="0.3">
      <c r="A4" s="7" t="s">
        <v>134</v>
      </c>
      <c r="B4">
        <v>5</v>
      </c>
      <c r="M4" s="7" t="s">
        <v>55</v>
      </c>
      <c r="N4">
        <v>44</v>
      </c>
    </row>
    <row r="5" spans="1:14" x14ac:dyDescent="0.3">
      <c r="A5" s="7" t="s">
        <v>65</v>
      </c>
      <c r="B5">
        <v>31</v>
      </c>
      <c r="M5" s="7" t="s">
        <v>71</v>
      </c>
      <c r="N5">
        <v>58</v>
      </c>
    </row>
    <row r="6" spans="1:14" x14ac:dyDescent="0.3">
      <c r="A6" s="7" t="s">
        <v>55</v>
      </c>
      <c r="B6">
        <v>44</v>
      </c>
      <c r="M6" s="7" t="s">
        <v>77</v>
      </c>
      <c r="N6">
        <v>99</v>
      </c>
    </row>
    <row r="7" spans="1:14" x14ac:dyDescent="0.3">
      <c r="A7" s="7" t="s">
        <v>71</v>
      </c>
      <c r="B7">
        <v>58</v>
      </c>
      <c r="M7" s="7" t="s">
        <v>1566</v>
      </c>
      <c r="N7">
        <v>237</v>
      </c>
    </row>
    <row r="8" spans="1:14" x14ac:dyDescent="0.3">
      <c r="A8" s="7" t="s">
        <v>77</v>
      </c>
      <c r="B8">
        <v>99</v>
      </c>
    </row>
    <row r="9" spans="1:14" x14ac:dyDescent="0.3">
      <c r="A9" s="7" t="s">
        <v>1566</v>
      </c>
      <c r="B9">
        <v>237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1:S14"/>
  <sheetViews>
    <sheetView topLeftCell="F1" zoomScale="70" workbookViewId="0">
      <selection activeCell="W15" sqref="W15"/>
    </sheetView>
  </sheetViews>
  <sheetFormatPr defaultColWidth="11.19921875" defaultRowHeight="15.6" x14ac:dyDescent="0.3"/>
  <cols>
    <col min="1" max="1" width="23.296875" bestFit="1" customWidth="1"/>
    <col min="2" max="2" width="24.3984375" bestFit="1" customWidth="1"/>
    <col min="5" max="5" width="23.19921875" bestFit="1" customWidth="1"/>
    <col min="14" max="14" width="23.296875" bestFit="1" customWidth="1"/>
    <col min="15" max="15" width="24.3984375" bestFit="1" customWidth="1"/>
    <col min="18" max="18" width="23.296875" bestFit="1" customWidth="1"/>
    <col min="19" max="19" width="24.3984375" bestFit="1" customWidth="1"/>
  </cols>
  <sheetData>
    <row r="1" spans="1:19" x14ac:dyDescent="0.3">
      <c r="N1" s="6" t="s">
        <v>1585</v>
      </c>
      <c r="O1" t="s">
        <v>1567</v>
      </c>
    </row>
    <row r="2" spans="1:19" x14ac:dyDescent="0.3">
      <c r="N2" s="7" t="s">
        <v>83</v>
      </c>
      <c r="O2">
        <v>131</v>
      </c>
    </row>
    <row r="3" spans="1:19" x14ac:dyDescent="0.3">
      <c r="A3" s="6" t="s">
        <v>1565</v>
      </c>
      <c r="B3" t="s">
        <v>1567</v>
      </c>
      <c r="E3" t="s">
        <v>9</v>
      </c>
      <c r="F3" t="s">
        <v>0</v>
      </c>
      <c r="N3" s="7" t="s">
        <v>163</v>
      </c>
      <c r="O3">
        <v>52</v>
      </c>
    </row>
    <row r="4" spans="1:19" x14ac:dyDescent="0.3">
      <c r="A4" s="7" t="s">
        <v>83</v>
      </c>
      <c r="B4">
        <v>131</v>
      </c>
      <c r="E4" t="str">
        <f>A4</f>
        <v>Healthcare Representative</v>
      </c>
      <c r="F4">
        <f>GETPIVOTDATA("CF_attrition count",$A$3,"Job Role","Healthcare Representative")</f>
        <v>131</v>
      </c>
      <c r="N4" s="7" t="s">
        <v>68</v>
      </c>
      <c r="O4">
        <v>259</v>
      </c>
    </row>
    <row r="5" spans="1:19" x14ac:dyDescent="0.3">
      <c r="A5" s="7" t="s">
        <v>163</v>
      </c>
      <c r="B5">
        <v>52</v>
      </c>
      <c r="E5" t="str">
        <f t="shared" ref="E5:E12" si="0">A5</f>
        <v>Human Resources</v>
      </c>
      <c r="F5">
        <f>GETPIVOTDATA("CF_attrition count",$A$3,"Job Role","Human Resources")</f>
        <v>52</v>
      </c>
      <c r="N5" s="7" t="s">
        <v>95</v>
      </c>
      <c r="O5">
        <v>102</v>
      </c>
      <c r="R5" t="s">
        <v>1585</v>
      </c>
      <c r="S5" t="s">
        <v>1586</v>
      </c>
    </row>
    <row r="6" spans="1:19" x14ac:dyDescent="0.3">
      <c r="A6" s="7" t="s">
        <v>68</v>
      </c>
      <c r="B6">
        <v>259</v>
      </c>
      <c r="E6" t="str">
        <f t="shared" si="0"/>
        <v>Laboratory Technician</v>
      </c>
      <c r="F6">
        <f>GETPIVOTDATA("CF_attrition count",$A$3,"Job Role","Laboratory Technician")</f>
        <v>259</v>
      </c>
      <c r="N6" s="7" t="s">
        <v>81</v>
      </c>
      <c r="O6">
        <v>145</v>
      </c>
      <c r="R6" t="str">
        <f>N2</f>
        <v>Healthcare Representative</v>
      </c>
      <c r="S6">
        <f>GETPIVOTDATA("CF_attrition count",$N$1,"Job Role","Healthcare Representative")</f>
        <v>131</v>
      </c>
    </row>
    <row r="7" spans="1:19" x14ac:dyDescent="0.3">
      <c r="A7" s="7" t="s">
        <v>95</v>
      </c>
      <c r="B7">
        <v>102</v>
      </c>
      <c r="E7" t="str">
        <f t="shared" si="0"/>
        <v>Manager</v>
      </c>
      <c r="F7">
        <f>GETPIVOTDATA("CF_attrition count",$A$3,"Job Role","Manager")</f>
        <v>102</v>
      </c>
      <c r="N7" s="7" t="s">
        <v>101</v>
      </c>
      <c r="O7">
        <v>80</v>
      </c>
      <c r="R7" t="str">
        <f>N3</f>
        <v>Human Resources</v>
      </c>
      <c r="S7">
        <f>GETPIVOTDATA("CF_attrition count",$N$1,"Job Role","Human Resources")</f>
        <v>52</v>
      </c>
    </row>
    <row r="8" spans="1:19" x14ac:dyDescent="0.3">
      <c r="A8" s="7" t="s">
        <v>81</v>
      </c>
      <c r="B8">
        <v>145</v>
      </c>
      <c r="E8" t="str">
        <f t="shared" si="0"/>
        <v>Manufacturing Director</v>
      </c>
      <c r="F8">
        <f>GETPIVOTDATA("CF_attrition count",$A$3,"Job Role","Manufacturing Director")</f>
        <v>145</v>
      </c>
      <c r="N8" s="7" t="s">
        <v>63</v>
      </c>
      <c r="O8">
        <v>292</v>
      </c>
      <c r="R8" t="str">
        <f t="shared" ref="R8:R13" si="1">N4</f>
        <v>Laboratory Technician</v>
      </c>
      <c r="S8">
        <f>GETPIVOTDATA("CF_attrition count",$N$1,"Job Role","Laboratory Technician")</f>
        <v>259</v>
      </c>
    </row>
    <row r="9" spans="1:19" x14ac:dyDescent="0.3">
      <c r="A9" s="7" t="s">
        <v>101</v>
      </c>
      <c r="B9">
        <v>80</v>
      </c>
      <c r="E9" t="str">
        <f t="shared" si="0"/>
        <v>Research Director</v>
      </c>
      <c r="F9">
        <f>GETPIVOTDATA("CF_attrition count",$A$3,"Job Role","Research Director")</f>
        <v>80</v>
      </c>
      <c r="N9" s="7" t="s">
        <v>52</v>
      </c>
      <c r="O9">
        <v>326</v>
      </c>
      <c r="R9" t="str">
        <f t="shared" si="1"/>
        <v>Manager</v>
      </c>
      <c r="S9">
        <f>GETPIVOTDATA("CF_attrition count",$N$1,"Job Role","Manager")</f>
        <v>102</v>
      </c>
    </row>
    <row r="10" spans="1:19" x14ac:dyDescent="0.3">
      <c r="A10" s="7" t="s">
        <v>63</v>
      </c>
      <c r="B10">
        <v>292</v>
      </c>
      <c r="E10" t="str">
        <f t="shared" si="0"/>
        <v>Research Scientist</v>
      </c>
      <c r="F10">
        <f>GETPIVOTDATA("CF_attrition count",$A$3,"Job Role","Research Scientist")</f>
        <v>292</v>
      </c>
      <c r="N10" s="7" t="s">
        <v>99</v>
      </c>
      <c r="O10">
        <v>83</v>
      </c>
      <c r="R10" t="str">
        <f t="shared" si="1"/>
        <v>Manufacturing Director</v>
      </c>
      <c r="S10">
        <f>GETPIVOTDATA("CF_attrition count",$N$1,"Job Role","Manufacturing Director")</f>
        <v>145</v>
      </c>
    </row>
    <row r="11" spans="1:19" x14ac:dyDescent="0.3">
      <c r="A11" s="7" t="s">
        <v>52</v>
      </c>
      <c r="B11">
        <v>326</v>
      </c>
      <c r="E11" t="str">
        <f t="shared" si="0"/>
        <v>Sales Executive</v>
      </c>
      <c r="F11">
        <f>GETPIVOTDATA("CF_attrition count",$A$3,"Job Role","Sales Executive")</f>
        <v>326</v>
      </c>
      <c r="N11" s="7" t="s">
        <v>1566</v>
      </c>
      <c r="O11">
        <v>1470</v>
      </c>
      <c r="R11" t="str">
        <f t="shared" si="1"/>
        <v>Research Director</v>
      </c>
      <c r="S11">
        <f>GETPIVOTDATA("CF_attrition count",$N$1,"Job Role","Research Director")</f>
        <v>80</v>
      </c>
    </row>
    <row r="12" spans="1:19" x14ac:dyDescent="0.3">
      <c r="A12" s="7" t="s">
        <v>99</v>
      </c>
      <c r="B12">
        <v>83</v>
      </c>
      <c r="E12" t="str">
        <f t="shared" si="0"/>
        <v>Sales Representative</v>
      </c>
      <c r="F12">
        <f>GETPIVOTDATA("CF_attrition count",$A$3,"Job Role","Sales Representative")</f>
        <v>83</v>
      </c>
      <c r="R12" t="str">
        <f t="shared" si="1"/>
        <v>Research Scientist</v>
      </c>
      <c r="S12">
        <f>GETPIVOTDATA("CF_attrition count",$N$1,"Job Role","Research Scientist")</f>
        <v>292</v>
      </c>
    </row>
    <row r="13" spans="1:19" x14ac:dyDescent="0.3">
      <c r="A13" s="7" t="s">
        <v>1566</v>
      </c>
      <c r="B13">
        <v>1470</v>
      </c>
      <c r="R13" t="str">
        <f t="shared" si="1"/>
        <v>Sales Executive</v>
      </c>
      <c r="S13">
        <f>GETPIVOTDATA("CF_attrition count",$N$1,"Job Role","Sales Executive")</f>
        <v>326</v>
      </c>
    </row>
    <row r="14" spans="1:19" x14ac:dyDescent="0.3">
      <c r="R14" t="str">
        <f>N10</f>
        <v>Sales Representative</v>
      </c>
      <c r="S14">
        <f>GETPIVOTDATA("CF_attrition count",$N$1,"Job Role","Sales Representative")</f>
        <v>83</v>
      </c>
    </row>
  </sheetData>
  <pageMargins left="0.7" right="0.7" top="0.75" bottom="0.75" header="0.3" footer="0.3"/>
  <drawing r:id="rId3"/>
  <tableParts count="2">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2:N11"/>
  <sheetViews>
    <sheetView topLeftCell="F4" workbookViewId="0">
      <selection activeCell="Q19" sqref="Q19"/>
    </sheetView>
  </sheetViews>
  <sheetFormatPr defaultColWidth="11.19921875" defaultRowHeight="15.6" x14ac:dyDescent="0.3"/>
  <cols>
    <col min="1" max="1" width="12.296875" bestFit="1" customWidth="1"/>
    <col min="2" max="2" width="22.796875" bestFit="1" customWidth="1"/>
    <col min="4" max="4" width="11" bestFit="1" customWidth="1"/>
    <col min="11" max="11" width="15.59765625" bestFit="1" customWidth="1"/>
    <col min="12" max="12" width="22.796875" bestFit="1" customWidth="1"/>
    <col min="14" max="14" width="14.69921875" bestFit="1" customWidth="1"/>
  </cols>
  <sheetData>
    <row r="2" spans="1:14" x14ac:dyDescent="0.3">
      <c r="K2" s="6" t="s">
        <v>1587</v>
      </c>
      <c r="L2" t="s">
        <v>1555</v>
      </c>
    </row>
    <row r="3" spans="1:14" x14ac:dyDescent="0.3">
      <c r="A3" s="6" t="s">
        <v>1565</v>
      </c>
      <c r="B3" t="s">
        <v>1555</v>
      </c>
      <c r="D3" t="s">
        <v>4</v>
      </c>
      <c r="E3" t="s">
        <v>0</v>
      </c>
      <c r="F3" t="s">
        <v>1568</v>
      </c>
      <c r="K3" s="7" t="s">
        <v>161</v>
      </c>
      <c r="L3">
        <v>12</v>
      </c>
    </row>
    <row r="4" spans="1:14" x14ac:dyDescent="0.3">
      <c r="A4" s="7" t="s">
        <v>161</v>
      </c>
      <c r="B4">
        <v>12</v>
      </c>
      <c r="D4" t="str">
        <f>A4</f>
        <v>HR</v>
      </c>
      <c r="E4">
        <f>GETPIVOTDATA("CF_attrition count",$A$3,"Department",A4)</f>
        <v>12</v>
      </c>
      <c r="F4" s="3">
        <f>E4/GETPIVOTDATA("CF_attrition count",$A$3)</f>
        <v>5.0632911392405063E-2</v>
      </c>
      <c r="K4" s="7" t="s">
        <v>60</v>
      </c>
      <c r="L4">
        <v>133</v>
      </c>
    </row>
    <row r="5" spans="1:14" x14ac:dyDescent="0.3">
      <c r="A5" s="7" t="s">
        <v>60</v>
      </c>
      <c r="B5">
        <v>133</v>
      </c>
      <c r="D5" t="str">
        <f t="shared" ref="D5:D6" si="0">A5</f>
        <v>R&amp;D</v>
      </c>
      <c r="E5">
        <f t="shared" ref="E5:E6" si="1">GETPIVOTDATA("CF_attrition count",$A$3,"Department",A5)</f>
        <v>133</v>
      </c>
      <c r="F5" s="3">
        <f>E5/GETPIVOTDATA("CF_attrition count",$A$3)</f>
        <v>0.56118143459915615</v>
      </c>
      <c r="K5" s="7" t="s">
        <v>48</v>
      </c>
      <c r="L5">
        <v>92</v>
      </c>
    </row>
    <row r="6" spans="1:14" x14ac:dyDescent="0.3">
      <c r="A6" s="7" t="s">
        <v>48</v>
      </c>
      <c r="B6">
        <v>92</v>
      </c>
      <c r="D6" t="str">
        <f t="shared" si="0"/>
        <v>Sales</v>
      </c>
      <c r="E6">
        <f t="shared" si="1"/>
        <v>92</v>
      </c>
      <c r="F6" s="3">
        <f>E6/GETPIVOTDATA("CF_attrition count",$A$3)</f>
        <v>0.3881856540084388</v>
      </c>
      <c r="K6" s="7" t="s">
        <v>1566</v>
      </c>
      <c r="L6">
        <v>237</v>
      </c>
    </row>
    <row r="7" spans="1:14" x14ac:dyDescent="0.3">
      <c r="A7" s="7" t="s">
        <v>1566</v>
      </c>
      <c r="B7">
        <v>237</v>
      </c>
    </row>
    <row r="8" spans="1:14" x14ac:dyDescent="0.3">
      <c r="L8" s="14" t="s">
        <v>1588</v>
      </c>
      <c r="M8" s="14" t="s">
        <v>1586</v>
      </c>
      <c r="N8" s="14" t="s">
        <v>1589</v>
      </c>
    </row>
    <row r="9" spans="1:14" x14ac:dyDescent="0.3">
      <c r="L9" s="13" t="str">
        <f>K3</f>
        <v>HR</v>
      </c>
      <c r="M9" s="13">
        <f>GETPIVOTDATA("CF_attrition count",$K$2,"Department","HR")</f>
        <v>12</v>
      </c>
      <c r="N9" s="12">
        <f>M9/GETPIVOTDATA("CF_ATTRITION COUNT",K2)</f>
        <v>5.0632911392405063E-2</v>
      </c>
    </row>
    <row r="10" spans="1:14" x14ac:dyDescent="0.3">
      <c r="L10" s="13" t="str">
        <f>K4</f>
        <v>R&amp;D</v>
      </c>
      <c r="M10" s="13">
        <f>GETPIVOTDATA("CF_attrition count",$K$2,"Department","R&amp;D")</f>
        <v>133</v>
      </c>
      <c r="N10" s="12">
        <f>M10/GETPIVOTDATA("CF_ATTRITION COUNT",K2)</f>
        <v>0.56118143459915615</v>
      </c>
    </row>
    <row r="11" spans="1:14" x14ac:dyDescent="0.3">
      <c r="L11" s="13" t="str">
        <f>K5</f>
        <v>Sales</v>
      </c>
      <c r="M11" s="13">
        <f>GETPIVOTDATA("CF_attrition count",$K$2,"Department","Sales")</f>
        <v>92</v>
      </c>
      <c r="N11" s="12">
        <f>M11/GETPIVOTDATA("CF_ATTRITION COUNT",K2)</f>
        <v>0.3881856540084388</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2:G9"/>
  <sheetViews>
    <sheetView topLeftCell="A2" workbookViewId="0">
      <selection activeCell="L17" sqref="L17"/>
    </sheetView>
  </sheetViews>
  <sheetFormatPr defaultColWidth="11.19921875" defaultRowHeight="15.6" x14ac:dyDescent="0.3"/>
  <cols>
    <col min="1" max="1" width="12.296875" bestFit="1" customWidth="1"/>
    <col min="2" max="2" width="24.296875" bestFit="1" customWidth="1"/>
    <col min="3" max="3" width="19.19921875" bestFit="1" customWidth="1"/>
    <col min="6" max="6" width="14.796875" bestFit="1" customWidth="1"/>
    <col min="7" max="7" width="24.296875" bestFit="1" customWidth="1"/>
  </cols>
  <sheetData>
    <row r="2" spans="1:7" x14ac:dyDescent="0.3">
      <c r="F2" s="6" t="s">
        <v>1590</v>
      </c>
      <c r="G2" t="s">
        <v>1567</v>
      </c>
    </row>
    <row r="3" spans="1:7" x14ac:dyDescent="0.3">
      <c r="A3" s="6" t="s">
        <v>1565</v>
      </c>
      <c r="B3" t="s">
        <v>1567</v>
      </c>
      <c r="F3" s="7" t="s">
        <v>69</v>
      </c>
      <c r="G3">
        <v>554</v>
      </c>
    </row>
    <row r="4" spans="1:7" x14ac:dyDescent="0.3">
      <c r="A4" s="7" t="s">
        <v>69</v>
      </c>
      <c r="B4">
        <v>554</v>
      </c>
      <c r="F4" s="7" t="s">
        <v>46</v>
      </c>
      <c r="G4">
        <v>505</v>
      </c>
    </row>
    <row r="5" spans="1:7" x14ac:dyDescent="0.3">
      <c r="A5" s="7" t="s">
        <v>46</v>
      </c>
      <c r="B5">
        <v>505</v>
      </c>
      <c r="F5" s="7" t="s">
        <v>58</v>
      </c>
      <c r="G5">
        <v>245</v>
      </c>
    </row>
    <row r="6" spans="1:7" x14ac:dyDescent="0.3">
      <c r="A6" s="7" t="s">
        <v>58</v>
      </c>
      <c r="B6">
        <v>245</v>
      </c>
      <c r="F6" s="7" t="s">
        <v>92</v>
      </c>
      <c r="G6">
        <v>97</v>
      </c>
    </row>
    <row r="7" spans="1:7" x14ac:dyDescent="0.3">
      <c r="A7" s="7" t="s">
        <v>92</v>
      </c>
      <c r="B7">
        <v>97</v>
      </c>
      <c r="F7" s="7" t="s">
        <v>75</v>
      </c>
      <c r="G7">
        <v>69</v>
      </c>
    </row>
    <row r="8" spans="1:7" x14ac:dyDescent="0.3">
      <c r="A8" s="7" t="s">
        <v>75</v>
      </c>
      <c r="B8">
        <v>69</v>
      </c>
      <c r="F8" s="7" t="s">
        <v>1566</v>
      </c>
      <c r="G8">
        <v>1470</v>
      </c>
    </row>
    <row r="9" spans="1:7" x14ac:dyDescent="0.3">
      <c r="A9" s="7" t="s">
        <v>1566</v>
      </c>
      <c r="B9">
        <v>1470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2:M8"/>
  <sheetViews>
    <sheetView topLeftCell="B6" workbookViewId="0">
      <selection activeCell="I3" sqref="I3:J3"/>
      <pivotSelection pane="bottomRight" showHeader="1" extendable="1" max="4" activeRow="2" activeCol="8" click="1" r:id="rId2">
        <pivotArea dataOnly="0" fieldPosition="0">
          <references count="1">
            <reference field="10" count="1">
              <x v="0"/>
            </reference>
          </references>
        </pivotArea>
      </pivotSelection>
    </sheetView>
  </sheetViews>
  <sheetFormatPr defaultColWidth="11.19921875" defaultRowHeight="15.6" x14ac:dyDescent="0.3"/>
  <cols>
    <col min="1" max="1" width="12.296875" bestFit="1" customWidth="1"/>
    <col min="2" max="2" width="24.296875" bestFit="1" customWidth="1"/>
    <col min="4" max="4" width="12.796875" bestFit="1" customWidth="1"/>
    <col min="9" max="9" width="12.296875" bestFit="1" customWidth="1"/>
    <col min="10" max="10" width="24.296875" bestFit="1" customWidth="1"/>
    <col min="12" max="12" width="14.296875" bestFit="1" customWidth="1"/>
  </cols>
  <sheetData>
    <row r="2" spans="1:13" x14ac:dyDescent="0.3">
      <c r="I2" s="6" t="s">
        <v>1565</v>
      </c>
      <c r="J2" t="s">
        <v>1567</v>
      </c>
    </row>
    <row r="3" spans="1:13" x14ac:dyDescent="0.3">
      <c r="A3" s="6" t="s">
        <v>1565</v>
      </c>
      <c r="B3" t="s">
        <v>1567</v>
      </c>
      <c r="D3" t="s">
        <v>10</v>
      </c>
      <c r="E3" t="s">
        <v>0</v>
      </c>
      <c r="I3" s="7" t="s">
        <v>79</v>
      </c>
      <c r="J3">
        <v>327</v>
      </c>
    </row>
    <row r="4" spans="1:13" x14ac:dyDescent="0.3">
      <c r="A4" s="7" t="s">
        <v>79</v>
      </c>
      <c r="B4">
        <v>327</v>
      </c>
      <c r="D4" t="str">
        <f>A4</f>
        <v>Divorced</v>
      </c>
      <c r="E4">
        <f>GETPIVOTDATA("CF_attrition count",$A$3,"Marital Status",A4)</f>
        <v>327</v>
      </c>
      <c r="I4" s="7" t="s">
        <v>53</v>
      </c>
      <c r="J4">
        <v>470</v>
      </c>
    </row>
    <row r="5" spans="1:13" x14ac:dyDescent="0.3">
      <c r="A5" s="7" t="s">
        <v>53</v>
      </c>
      <c r="B5">
        <v>470</v>
      </c>
      <c r="D5" t="str">
        <f t="shared" ref="D5:D6" si="0">A5</f>
        <v>Single</v>
      </c>
      <c r="E5">
        <f t="shared" ref="E5:E6" si="1">GETPIVOTDATA("CF_attrition count",$A$3,"Marital Status",A5)</f>
        <v>470</v>
      </c>
      <c r="I5" s="7" t="s">
        <v>64</v>
      </c>
      <c r="J5">
        <v>673</v>
      </c>
      <c r="L5" s="15" t="s">
        <v>1591</v>
      </c>
      <c r="M5" s="15" t="s">
        <v>1586</v>
      </c>
    </row>
    <row r="6" spans="1:13" x14ac:dyDescent="0.3">
      <c r="A6" s="7" t="s">
        <v>64</v>
      </c>
      <c r="B6">
        <v>673</v>
      </c>
      <c r="D6" t="str">
        <f t="shared" si="0"/>
        <v>Married</v>
      </c>
      <c r="E6">
        <f t="shared" si="1"/>
        <v>673</v>
      </c>
      <c r="I6" s="7" t="s">
        <v>1566</v>
      </c>
      <c r="J6">
        <v>1470</v>
      </c>
      <c r="L6" s="13" t="str">
        <f>I3</f>
        <v>Divorced</v>
      </c>
      <c r="M6" s="13">
        <f>GETPIVOTDATA("CF_attrition count",$I$2,"Marital Status","Divorced")</f>
        <v>327</v>
      </c>
    </row>
    <row r="7" spans="1:13" x14ac:dyDescent="0.3">
      <c r="A7" s="7" t="s">
        <v>1566</v>
      </c>
      <c r="B7">
        <v>1470</v>
      </c>
      <c r="L7" s="13" t="str">
        <f>I4</f>
        <v>Single</v>
      </c>
      <c r="M7" s="13">
        <f>GETPIVOTDATA("CF_attrition count",$I$2,"Marital Status","Single")</f>
        <v>470</v>
      </c>
    </row>
    <row r="8" spans="1:13" x14ac:dyDescent="0.3">
      <c r="L8" s="13" t="str">
        <f>I5</f>
        <v>Married</v>
      </c>
      <c r="M8" s="13">
        <f>GETPIVOTDATA("CF_attrition count",$I$2,"Marital Status","Married")</f>
        <v>673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topLeftCell="A4" zoomScale="75" zoomScaleNormal="100" workbookViewId="0">
      <selection activeCell="V10" sqref="V10"/>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K42" sqref="K42"/>
    </sheetView>
  </sheetViews>
  <sheetFormatPr defaultColWidth="8.796875" defaultRowHeight="15.6"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tabSelected="1" topLeftCell="A2" zoomScale="57" zoomScaleNormal="85" workbookViewId="0">
      <selection activeCell="AE26" sqref="AE26"/>
    </sheetView>
  </sheetViews>
  <sheetFormatPr defaultColWidth="8.796875"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MY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Ronnit Singh</cp:lastModifiedBy>
  <dcterms:created xsi:type="dcterms:W3CDTF">2022-12-29T16:02:46Z</dcterms:created>
  <dcterms:modified xsi:type="dcterms:W3CDTF">2026-04-07T08:04:19Z</dcterms:modified>
</cp:coreProperties>
</file>